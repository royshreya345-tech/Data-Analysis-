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cb5a729bccf0b2/Documents/"/>
    </mc:Choice>
  </mc:AlternateContent>
  <xr:revisionPtr revIDLastSave="751" documentId="8_{75B7E597-4796-4C1A-888E-9D8350A4BD20}" xr6:coauthVersionLast="47" xr6:coauthVersionMax="47" xr10:uidLastSave="{1AEEE34C-F58A-4C1E-B0A8-D0D1B6AB30F5}"/>
  <bookViews>
    <workbookView xWindow="5760" yWindow="2628" windowWidth="17280" windowHeight="8880" activeTab="3" xr2:uid="{E39F1B53-3127-4D6C-88BD-079CCE5E8692}"/>
  </bookViews>
  <sheets>
    <sheet name="tips" sheetId="1" r:id="rId1"/>
    <sheet name="Pivot Table" sheetId="3" r:id="rId2"/>
    <sheet name="Correlation" sheetId="5" r:id="rId3"/>
    <sheet name="Regression" sheetId="6" r:id="rId4"/>
    <sheet name="Predicted tip" sheetId="2" r:id="rId5"/>
  </sheets>
  <definedNames>
    <definedName name="_xlnm._FilterDatabase" localSheetId="4" hidden="1">'Predicted tip'!$E$2:$E$245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3" i="2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/>
  <c r="L30" i="2" a="1"/>
  <c r="L30" i="2" s="1"/>
  <c r="L31" i="2" a="1"/>
  <c r="L31" i="2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/>
  <c r="L69" i="2" a="1"/>
  <c r="L69" i="2" s="1"/>
  <c r="L70" i="2" a="1"/>
  <c r="L70" i="2" s="1"/>
  <c r="L71" i="2" a="1"/>
  <c r="L71" i="2"/>
  <c r="L72" i="2" a="1"/>
  <c r="L72" i="2" s="1"/>
  <c r="L73" i="2" a="1"/>
  <c r="L73" i="2" s="1"/>
  <c r="L74" i="2" a="1"/>
  <c r="L74" i="2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/>
  <c r="L94" i="2" a="1"/>
  <c r="L94" i="2" s="1"/>
  <c r="L95" i="2" a="1"/>
  <c r="L95" i="2"/>
  <c r="L96" i="2" a="1"/>
  <c r="L96" i="2"/>
  <c r="L97" i="2" a="1"/>
  <c r="L97" i="2" s="1"/>
  <c r="L98" i="2" a="1"/>
  <c r="L98" i="2" s="1"/>
  <c r="L99" i="2" a="1"/>
  <c r="L99" i="2" s="1"/>
  <c r="L100" i="2" a="1"/>
  <c r="L100" i="2" s="1"/>
  <c r="L101" i="2" a="1"/>
  <c r="L101" i="2"/>
  <c r="L102" i="2" a="1"/>
  <c r="L102" i="2" s="1"/>
  <c r="L103" i="2" a="1"/>
  <c r="L103" i="2" s="1"/>
  <c r="L104" i="2" a="1"/>
  <c r="L104" i="2"/>
  <c r="L105" i="2" a="1"/>
  <c r="L105" i="2" s="1"/>
  <c r="L106" i="2" a="1"/>
  <c r="L106" i="2" s="1"/>
  <c r="L107" i="2" a="1"/>
  <c r="L107" i="2" s="1"/>
  <c r="L108" i="2" a="1"/>
  <c r="L108" i="2" s="1"/>
  <c r="L109" i="2" a="1"/>
  <c r="L109" i="2"/>
  <c r="L110" i="2" a="1"/>
  <c r="L110" i="2" s="1"/>
  <c r="L111" i="2" a="1"/>
  <c r="L111" i="2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/>
  <c r="L125" i="2" a="1"/>
  <c r="L125" i="2" s="1"/>
  <c r="L126" i="2" a="1"/>
  <c r="L126" i="2" s="1"/>
  <c r="L127" i="2" a="1"/>
  <c r="L127" i="2" s="1"/>
  <c r="L128" i="2" a="1"/>
  <c r="L128" i="2"/>
  <c r="L129" i="2" a="1"/>
  <c r="L129" i="2" s="1"/>
  <c r="L130" i="2" a="1"/>
  <c r="L130" i="2" s="1"/>
  <c r="L131" i="2" a="1"/>
  <c r="L131" i="2" s="1"/>
  <c r="L132" i="2" a="1"/>
  <c r="L132" i="2"/>
  <c r="L133" i="2" a="1"/>
  <c r="L133" i="2" s="1"/>
  <c r="L134" i="2" a="1"/>
  <c r="L134" i="2" s="1"/>
  <c r="L135" i="2" a="1"/>
  <c r="L135" i="2" s="1"/>
  <c r="L136" i="2" a="1"/>
  <c r="L136" i="2"/>
  <c r="L137" i="2" a="1"/>
  <c r="L137" i="2" s="1"/>
  <c r="L138" i="2" a="1"/>
  <c r="L138" i="2" s="1"/>
  <c r="L139" i="2" a="1"/>
  <c r="L139" i="2"/>
  <c r="L140" i="2" a="1"/>
  <c r="L140" i="2" s="1"/>
  <c r="L141" i="2" a="1"/>
  <c r="L141" i="2"/>
  <c r="L142" i="2" a="1"/>
  <c r="L142" i="2" s="1"/>
  <c r="L143" i="2" a="1"/>
  <c r="L143" i="2" s="1"/>
  <c r="L144" i="2" a="1"/>
  <c r="L144" i="2" s="1"/>
  <c r="L145" i="2" a="1"/>
  <c r="L145" i="2" s="1"/>
  <c r="L146" i="2" a="1"/>
  <c r="L146" i="2"/>
  <c r="L147" i="2" a="1"/>
  <c r="L147" i="2" s="1"/>
  <c r="L148" i="2" a="1"/>
  <c r="L148" i="2"/>
  <c r="L149" i="2" a="1"/>
  <c r="L149" i="2"/>
  <c r="L150" i="2" a="1"/>
  <c r="L150" i="2" s="1"/>
  <c r="L151" i="2" a="1"/>
  <c r="L151" i="2" s="1"/>
  <c r="L152" i="2" a="1"/>
  <c r="L152" i="2" s="1"/>
  <c r="L153" i="2" a="1"/>
  <c r="L153" i="2"/>
  <c r="L154" i="2" a="1"/>
  <c r="L154" i="2" s="1"/>
  <c r="L155" i="2" a="1"/>
  <c r="L155" i="2" s="1"/>
  <c r="L156" i="2" a="1"/>
  <c r="L156" i="2"/>
  <c r="L157" i="2" a="1"/>
  <c r="L157" i="2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/>
  <c r="L210" i="2" a="1"/>
  <c r="L210" i="2" s="1"/>
  <c r="L211" i="2" a="1"/>
  <c r="L211" i="2" s="1"/>
  <c r="L212" i="2" a="1"/>
  <c r="L212" i="2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/>
  <c r="L231" i="2" a="1"/>
  <c r="L231" i="2" s="1"/>
  <c r="L232" i="2" a="1"/>
  <c r="L232" i="2" s="1"/>
  <c r="L233" i="2" a="1"/>
  <c r="L233" i="2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/>
  <c r="L240" i="2" a="1"/>
  <c r="L240" i="2" s="1"/>
  <c r="L241" i="2" a="1"/>
  <c r="L241" i="2"/>
  <c r="L242" i="2" a="1"/>
  <c r="L242" i="2" s="1"/>
  <c r="L243" i="2" a="1"/>
  <c r="L243" i="2" s="1"/>
  <c r="L244" i="2" a="1"/>
  <c r="L244" i="2"/>
  <c r="L245" i="2" a="1"/>
  <c r="L245" i="2" s="1"/>
  <c r="L8" i="2" a="1"/>
  <c r="L8" i="2" s="1"/>
  <c r="L7" i="2" a="1"/>
  <c r="L7" i="2" s="1"/>
  <c r="L6" i="2" a="1"/>
  <c r="L6" i="2" s="1"/>
  <c r="L5" i="2" a="1"/>
  <c r="L5" i="2"/>
  <c r="L4" i="2" a="1"/>
  <c r="L4" i="2" s="1"/>
  <c r="L3" i="2" a="1"/>
  <c r="L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3" i="2"/>
  <c r="Q220" i="2" l="1"/>
  <c r="Q206" i="2"/>
  <c r="Q192" i="2"/>
  <c r="Q178" i="2"/>
  <c r="Q164" i="2"/>
  <c r="Q136" i="2"/>
  <c r="Q108" i="2"/>
  <c r="Q80" i="2"/>
  <c r="Q66" i="2"/>
  <c r="Q38" i="2"/>
  <c r="Q10" i="2"/>
  <c r="Q94" i="2"/>
  <c r="Q52" i="2"/>
  <c r="Q24" i="2"/>
  <c r="Q219" i="2"/>
  <c r="Q191" i="2"/>
  <c r="Q163" i="2"/>
  <c r="Q135" i="2"/>
  <c r="Q107" i="2"/>
  <c r="Q79" i="2"/>
  <c r="Q37" i="2"/>
  <c r="Q9" i="2"/>
  <c r="Q3" i="2"/>
  <c r="Q218" i="2"/>
  <c r="Q190" i="2"/>
  <c r="Q162" i="2"/>
  <c r="Q134" i="2"/>
  <c r="Q106" i="2"/>
  <c r="Q78" i="2"/>
  <c r="Q36" i="2"/>
  <c r="Q8" i="2"/>
  <c r="Q231" i="2"/>
  <c r="Q203" i="2"/>
  <c r="Q175" i="2"/>
  <c r="Q147" i="2"/>
  <c r="Q119" i="2"/>
  <c r="Q91" i="2"/>
  <c r="Q63" i="2"/>
  <c r="Q35" i="2"/>
  <c r="Q7" i="2"/>
  <c r="Q244" i="2"/>
  <c r="Q230" i="2"/>
  <c r="Q216" i="2"/>
  <c r="Q202" i="2"/>
  <c r="Q188" i="2"/>
  <c r="Q174" i="2"/>
  <c r="Q160" i="2"/>
  <c r="Q146" i="2"/>
  <c r="Q132" i="2"/>
  <c r="Q118" i="2"/>
  <c r="Q104" i="2"/>
  <c r="Q90" i="2"/>
  <c r="Q76" i="2"/>
  <c r="Q62" i="2"/>
  <c r="Q48" i="2"/>
  <c r="Q34" i="2"/>
  <c r="Q20" i="2"/>
  <c r="Q6" i="2"/>
  <c r="Q234" i="2"/>
  <c r="Q150" i="2"/>
  <c r="Q122" i="2"/>
  <c r="Q233" i="2"/>
  <c r="Q205" i="2"/>
  <c r="Q177" i="2"/>
  <c r="Q149" i="2"/>
  <c r="Q121" i="2"/>
  <c r="Q93" i="2"/>
  <c r="Q65" i="2"/>
  <c r="Q51" i="2"/>
  <c r="Q23" i="2"/>
  <c r="Q232" i="2"/>
  <c r="Q204" i="2"/>
  <c r="Q176" i="2"/>
  <c r="Q148" i="2"/>
  <c r="Q120" i="2"/>
  <c r="Q64" i="2"/>
  <c r="Q50" i="2"/>
  <c r="Q22" i="2"/>
  <c r="Q245" i="2"/>
  <c r="Q217" i="2"/>
  <c r="Q189" i="2"/>
  <c r="Q161" i="2"/>
  <c r="Q133" i="2"/>
  <c r="Q105" i="2"/>
  <c r="Q77" i="2"/>
  <c r="Q49" i="2"/>
  <c r="Q21" i="2"/>
  <c r="Q92" i="2"/>
  <c r="Q60" i="2"/>
  <c r="Q226" i="2"/>
  <c r="Q72" i="2"/>
  <c r="Q85" i="2"/>
  <c r="Q224" i="2"/>
  <c r="Q70" i="2"/>
  <c r="Q195" i="2"/>
  <c r="Q153" i="2"/>
  <c r="Q139" i="2"/>
  <c r="Q125" i="2"/>
  <c r="Q111" i="2"/>
  <c r="Q97" i="2"/>
  <c r="Q55" i="2"/>
  <c r="Q41" i="2"/>
  <c r="Q27" i="2"/>
  <c r="Q13" i="2"/>
  <c r="Q229" i="2"/>
  <c r="Q201" i="2"/>
  <c r="Q173" i="2"/>
  <c r="Q145" i="2"/>
  <c r="Q117" i="2"/>
  <c r="Q89" i="2"/>
  <c r="Q61" i="2"/>
  <c r="Q33" i="2"/>
  <c r="Q5" i="2"/>
  <c r="Q228" i="2"/>
  <c r="Q200" i="2"/>
  <c r="Q172" i="2"/>
  <c r="Q144" i="2"/>
  <c r="Q116" i="2"/>
  <c r="Q88" i="2"/>
  <c r="Q46" i="2"/>
  <c r="Q18" i="2"/>
  <c r="Q227" i="2"/>
  <c r="Q213" i="2"/>
  <c r="Q185" i="2"/>
  <c r="Q157" i="2"/>
  <c r="Q129" i="2"/>
  <c r="Q101" i="2"/>
  <c r="Q73" i="2"/>
  <c r="Q45" i="2"/>
  <c r="Q17" i="2"/>
  <c r="Q212" i="2"/>
  <c r="Q184" i="2"/>
  <c r="Q156" i="2"/>
  <c r="Q128" i="2"/>
  <c r="Q86" i="2"/>
  <c r="Q44" i="2"/>
  <c r="Q30" i="2"/>
  <c r="Q225" i="2"/>
  <c r="Q197" i="2"/>
  <c r="Q169" i="2"/>
  <c r="Q141" i="2"/>
  <c r="Q113" i="2"/>
  <c r="Q71" i="2"/>
  <c r="Q43" i="2"/>
  <c r="Q15" i="2"/>
  <c r="Q238" i="2"/>
  <c r="Q196" i="2"/>
  <c r="Q168" i="2"/>
  <c r="Q140" i="2"/>
  <c r="Q112" i="2"/>
  <c r="Q84" i="2"/>
  <c r="Q56" i="2"/>
  <c r="Q14" i="2"/>
  <c r="Q237" i="2"/>
  <c r="Q209" i="2"/>
  <c r="Q167" i="2"/>
  <c r="Q69" i="2"/>
  <c r="Q236" i="2"/>
  <c r="Q222" i="2"/>
  <c r="Q208" i="2"/>
  <c r="Q194" i="2"/>
  <c r="Q180" i="2"/>
  <c r="Q166" i="2"/>
  <c r="Q152" i="2"/>
  <c r="Q138" i="2"/>
  <c r="Q124" i="2"/>
  <c r="Q110" i="2"/>
  <c r="Q96" i="2"/>
  <c r="Q82" i="2"/>
  <c r="Q68" i="2"/>
  <c r="Q54" i="2"/>
  <c r="Q40" i="2"/>
  <c r="Q26" i="2"/>
  <c r="Q12" i="2"/>
  <c r="Q243" i="2"/>
  <c r="Q215" i="2"/>
  <c r="Q187" i="2"/>
  <c r="Q159" i="2"/>
  <c r="Q131" i="2"/>
  <c r="Q103" i="2"/>
  <c r="Q75" i="2"/>
  <c r="Q47" i="2"/>
  <c r="Q19" i="2"/>
  <c r="Q242" i="2"/>
  <c r="Q214" i="2"/>
  <c r="Q186" i="2"/>
  <c r="Q158" i="2"/>
  <c r="Q130" i="2"/>
  <c r="Q102" i="2"/>
  <c r="Q74" i="2"/>
  <c r="Q32" i="2"/>
  <c r="Q4" i="2"/>
  <c r="Q241" i="2"/>
  <c r="Q199" i="2"/>
  <c r="Q171" i="2"/>
  <c r="Q143" i="2"/>
  <c r="Q115" i="2"/>
  <c r="Q87" i="2"/>
  <c r="Q59" i="2"/>
  <c r="Q31" i="2"/>
  <c r="Q240" i="2"/>
  <c r="Q198" i="2"/>
  <c r="Q170" i="2"/>
  <c r="Q142" i="2"/>
  <c r="Q114" i="2"/>
  <c r="Q100" i="2"/>
  <c r="Q58" i="2"/>
  <c r="Q16" i="2"/>
  <c r="Q239" i="2"/>
  <c r="Q211" i="2"/>
  <c r="Q183" i="2"/>
  <c r="Q155" i="2"/>
  <c r="Q127" i="2"/>
  <c r="Q99" i="2"/>
  <c r="Q57" i="2"/>
  <c r="Q29" i="2"/>
  <c r="Q210" i="2"/>
  <c r="Q182" i="2"/>
  <c r="Q154" i="2"/>
  <c r="Q126" i="2"/>
  <c r="Q98" i="2"/>
  <c r="Q42" i="2"/>
  <c r="Q28" i="2"/>
  <c r="Q223" i="2"/>
  <c r="Q181" i="2"/>
  <c r="Q83" i="2"/>
  <c r="Q235" i="2"/>
  <c r="Q221" i="2"/>
  <c r="Q207" i="2"/>
  <c r="Q193" i="2"/>
  <c r="Q179" i="2"/>
  <c r="Q165" i="2"/>
  <c r="Q151" i="2"/>
  <c r="Q137" i="2"/>
  <c r="Q123" i="2"/>
  <c r="Q109" i="2"/>
  <c r="Q95" i="2"/>
  <c r="Q81" i="2"/>
  <c r="Q67" i="2"/>
  <c r="Q53" i="2"/>
  <c r="Q39" i="2"/>
  <c r="Q25" i="2"/>
  <c r="Q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<sst xmlns="http://schemas.openxmlformats.org/spreadsheetml/2006/main" count="2060" uniqueCount="56">
  <si>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</si>
  <si>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</si>
  <si>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</si>
  <si>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</si>
  <si>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</si>
  <si>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</si>
  <si>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</si>
  <si>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</si>
  <si>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</si>
  <si>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</si>
  <si>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</si>
  <si>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</si>
  <si>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</si>
  <si>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</si>
  <si>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</si>
  <si>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</si>
  <si>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</si>
  <si>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</si>
  <si>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</si>
  <si>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</si>
  <si>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</si>
  <si>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</si>
  <si>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</si>
  <si>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</si>
  <si>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</si>
  <si>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</si>
  <si>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Row Labels</t>
  </si>
  <si>
    <t>Grand Total</t>
  </si>
  <si>
    <t>Sum of tip</t>
  </si>
  <si>
    <t>Column Labels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</si>
  <si>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</si>
  <si>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</si>
  <si>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</si>
  <si>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</si>
  <si>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</si>
  <si>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</si>
  <si>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</si>
  <si>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</si>
  <si>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</si>
  <si>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</si>
  <si>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</si>
  <si>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</si>
  <si>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</si>
  <si>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</si>
  <si>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</si>
  <si>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</si>
  <si>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</si>
  <si>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</si>
  <si>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</si>
  <si>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</si>
  <si>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</si>
  <si>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</si>
  <si>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</si>
  <si>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</si>
  <si>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Tip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</si>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</sst>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5" borderId="2" xfId="0" applyFill="1" applyBorder="1"/>
    <xf numFmtId="0" fontId="2" fillId="5" borderId="2" xfId="0" applyFont="1" applyFill="1" applyBorder="1"/>
    <xf numFmtId="0" fontId="3" fillId="6" borderId="3" xfId="0" applyFont="1" applyFill="1" applyBorder="1" applyAlignment="1">
      <alignment horizontal="center"/>
    </xf>
    <xf numFmtId="0" fontId="0" fillId="7" borderId="0" xfId="0" applyFill="1"/>
    <xf numFmtId="0" fontId="0" fillId="7" borderId="2" xfId="0" applyFill="1" applyBorder="1"/>
    <xf numFmtId="0" fontId="3" fillId="7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647F04-103B-4329-B70D-1951901AA6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 dataset solved.xlsx]Pivot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A-4103-BA7A-9092052445C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7A-4103-BA7A-9092052445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Table'!$C$4:$C$6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Table'!$D$4:$D$6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F-4535-95BF-DC3D3970ED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Dinner</c:v>
              </c:pt>
              <c:pt idx="1">
                <c:v>Lunch</c:v>
              </c:pt>
            </c:strLit>
          </c:cat>
          <c:val>
            <c:numLit>
              <c:formatCode>General</c:formatCode>
              <c:ptCount val="2"/>
              <c:pt idx="0">
                <c:v>156.10999999999999</c:v>
              </c:pt>
              <c:pt idx="1">
                <c:v>88.40000000000002</c:v>
              </c:pt>
            </c:numLit>
          </c:val>
          <c:extLst>
            <c:ext xmlns:c16="http://schemas.microsoft.com/office/drawing/2014/chart" uri="{C3380CC4-5D6E-409C-BE32-E72D297353CC}">
              <c16:uniqueId val="{00000000-9A0D-4492-95A9-DEEAC129885D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Dinner</c:v>
              </c:pt>
              <c:pt idx="1">
                <c:v>Lunch</c:v>
              </c:pt>
            </c:strLit>
          </c:cat>
          <c:val>
            <c:numLit>
              <c:formatCode>General</c:formatCode>
              <c:ptCount val="2"/>
              <c:pt idx="0">
                <c:v>389.96000000000004</c:v>
              </c:pt>
              <c:pt idx="1">
                <c:v>95.11</c:v>
              </c:pt>
            </c:numLit>
          </c:val>
          <c:extLst>
            <c:ext xmlns:c16="http://schemas.microsoft.com/office/drawing/2014/chart" uri="{C3380CC4-5D6E-409C-BE32-E72D297353CC}">
              <c16:uniqueId val="{00000004-9A0D-4492-95A9-DEEAC12988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3262512"/>
        <c:axId val="981664464"/>
      </c:barChart>
      <c:catAx>
        <c:axId val="119326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64464"/>
        <c:crosses val="autoZero"/>
        <c:auto val="1"/>
        <c:lblAlgn val="ctr"/>
        <c:lblOffset val="100"/>
        <c:noMultiLvlLbl val="0"/>
      </c:catAx>
      <c:valAx>
        <c:axId val="9816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6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</xdr:row>
      <xdr:rowOff>160020</xdr:rowOff>
    </xdr:from>
    <xdr:to>
      <xdr:col>8</xdr:col>
      <xdr:colOff>281940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18F72-3FEE-40DB-7A34-0D753DD96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586740</xdr:colOff>
      <xdr:row>7</xdr:row>
      <xdr:rowOff>26670</xdr:rowOff>
    </xdr:from>
    <xdr:to>
      <xdr:col>18</xdr:col>
      <xdr:colOff>15240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389836-B47B-7598-7B68-7A4856D97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Roy" refreshedDate="46218.845621180553" createdVersion="8" refreshedVersion="8" minRefreshableVersion="3" recordCount="243" xr:uid="{9BB7F355-ED80-4036-A3D8-B741ACBB673E}">
  <cacheSource type="worksheet">
    <worksheetSource ref="B2:H245" sheet="Predicted tip"/>
  </cacheSource>
  <cacheFields count="7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/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 count="123">
        <n v="1.01"/>
        <n v="1.66"/>
        <n v="3.5"/>
        <n v="3.31"/>
        <n v="3.61"/>
        <n v="4.71"/>
        <n v="2"/>
        <n v="3.12"/>
        <n v="1.96"/>
        <n v="3.23"/>
        <n v="1.71"/>
        <n v="5"/>
        <n v="1.57"/>
        <n v="3"/>
        <n v="3.02"/>
        <n v="3.92"/>
        <n v="1.67"/>
        <n v="3.71"/>
        <n v="3.35"/>
        <n v="4.08"/>
        <n v="2.75"/>
        <n v="2.23"/>
        <n v="7.58"/>
        <n v="3.18"/>
        <n v="2.34"/>
        <n v="4.3"/>
        <n v="1.45"/>
        <n v="2.5"/>
        <n v="2.4500000000000002"/>
        <n v="3.27"/>
        <n v="3.6"/>
        <n v="3.07"/>
        <n v="2.31"/>
        <n v="2.2400000000000002"/>
        <n v="2.54"/>
        <n v="3.06"/>
        <n v="1.32"/>
        <n v="5.6"/>
        <n v="6"/>
        <n v="2.0499999999999998"/>
        <n v="2.6"/>
        <n v="5.2"/>
        <n v="1.56"/>
        <n v="4.34"/>
        <n v="3.51"/>
        <n v="1.5"/>
        <n v="1.76"/>
        <n v="6.73"/>
        <n v="3.21"/>
        <n v="1.98"/>
        <n v="3.76"/>
        <n v="2.64"/>
        <n v="3.15"/>
        <n v="2.4700000000000002"/>
        <n v="1"/>
        <n v="2.0099999999999998"/>
        <n v="2.09"/>
        <n v="1.97"/>
        <n v="3.14"/>
        <n v="2.2000000000000002"/>
        <n v="1.25"/>
        <n v="3.08"/>
        <n v="4"/>
        <n v="2.71"/>
        <n v="3.4"/>
        <n v="1.83"/>
        <n v="2.0299999999999998"/>
        <n v="5.17"/>
        <n v="5.85"/>
        <n v="3.25"/>
        <n v="4.7300000000000004"/>
        <n v="3.48"/>
        <n v="1.64"/>
        <n v="4.0599999999999996"/>
        <n v="4.29"/>
        <n v="2.5499999999999998"/>
        <n v="5.07"/>
        <n v="1.8"/>
        <n v="2.92"/>
        <n v="1.68"/>
        <n v="2.52"/>
        <n v="4.2"/>
        <n v="1.48"/>
        <n v="2.1800000000000002"/>
        <n v="2.83"/>
        <n v="6.7"/>
        <n v="2.2999999999999998"/>
        <n v="1.36"/>
        <n v="1.63"/>
        <n v="1.73"/>
        <n v="2.74"/>
        <n v="5.14"/>
        <n v="3.75"/>
        <n v="2.61"/>
        <n v="4.5"/>
        <n v="1.61"/>
        <n v="10"/>
        <n v="3.16"/>
        <n v="5.15"/>
        <n v="3.11"/>
        <n v="3.55"/>
        <n v="3.68"/>
        <n v="5.65"/>
        <n v="6.5"/>
        <n v="4.1900000000000004"/>
        <n v="2.56"/>
        <n v="2.02"/>
        <n v="1.44"/>
        <n v="3.41"/>
        <n v="5.16"/>
        <n v="9"/>
        <n v="1.1000000000000001"/>
        <n v="3.09"/>
        <n v="1.92"/>
        <n v="1.58"/>
        <n v="2.72"/>
        <n v="2.88"/>
        <n v="3.39"/>
        <n v="1.47"/>
        <n v="1.17"/>
        <n v="4.67"/>
        <n v="5.92"/>
        <n v="1.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s v="No"/>
    <s v="Sun"/>
    <x v="0"/>
    <n v="2"/>
    <n v="16.989999999999998"/>
    <x v="0"/>
  </r>
  <r>
    <x v="1"/>
    <s v="No"/>
    <s v="Sun"/>
    <x v="0"/>
    <n v="3"/>
    <n v="10.34"/>
    <x v="1"/>
  </r>
  <r>
    <x v="1"/>
    <s v="No"/>
    <s v="Sun"/>
    <x v="0"/>
    <n v="3"/>
    <n v="21.01"/>
    <x v="2"/>
  </r>
  <r>
    <x v="1"/>
    <s v="No"/>
    <s v="Sun"/>
    <x v="0"/>
    <n v="2"/>
    <n v="23.68"/>
    <x v="3"/>
  </r>
  <r>
    <x v="0"/>
    <s v="No"/>
    <s v="Sun"/>
    <x v="0"/>
    <n v="4"/>
    <n v="24.59"/>
    <x v="4"/>
  </r>
  <r>
    <x v="1"/>
    <s v="No"/>
    <s v="Sun"/>
    <x v="0"/>
    <n v="4"/>
    <n v="25.29"/>
    <x v="5"/>
  </r>
  <r>
    <x v="1"/>
    <s v="No"/>
    <s v="Sun"/>
    <x v="0"/>
    <n v="2"/>
    <n v="8.77"/>
    <x v="6"/>
  </r>
  <r>
    <x v="1"/>
    <s v="No"/>
    <s v="Sun"/>
    <x v="0"/>
    <n v="4"/>
    <n v="26.88"/>
    <x v="7"/>
  </r>
  <r>
    <x v="1"/>
    <s v="No"/>
    <s v="Sun"/>
    <x v="0"/>
    <n v="2"/>
    <n v="15.04"/>
    <x v="8"/>
  </r>
  <r>
    <x v="1"/>
    <s v="No"/>
    <s v="Sun"/>
    <x v="0"/>
    <n v="2"/>
    <n v="14.78"/>
    <x v="9"/>
  </r>
  <r>
    <x v="1"/>
    <s v="No"/>
    <s v="Sun"/>
    <x v="0"/>
    <n v="2"/>
    <n v="10.27"/>
    <x v="10"/>
  </r>
  <r>
    <x v="0"/>
    <s v="No"/>
    <s v="Sun"/>
    <x v="0"/>
    <n v="4"/>
    <n v="35.26"/>
    <x v="11"/>
  </r>
  <r>
    <x v="1"/>
    <s v="No"/>
    <s v="Sun"/>
    <x v="0"/>
    <n v="2"/>
    <n v="15.42"/>
    <x v="12"/>
  </r>
  <r>
    <x v="1"/>
    <s v="No"/>
    <s v="Sun"/>
    <x v="0"/>
    <n v="4"/>
    <n v="18.43"/>
    <x v="13"/>
  </r>
  <r>
    <x v="0"/>
    <s v="No"/>
    <s v="Sun"/>
    <x v="0"/>
    <n v="2"/>
    <n v="14.83"/>
    <x v="14"/>
  </r>
  <r>
    <x v="1"/>
    <s v="No"/>
    <s v="Sun"/>
    <x v="0"/>
    <n v="2"/>
    <n v="21.58"/>
    <x v="15"/>
  </r>
  <r>
    <x v="0"/>
    <s v="No"/>
    <s v="Sun"/>
    <x v="0"/>
    <n v="3"/>
    <n v="10.33"/>
    <x v="16"/>
  </r>
  <r>
    <x v="1"/>
    <s v="No"/>
    <s v="Sun"/>
    <x v="0"/>
    <n v="3"/>
    <n v="16.29"/>
    <x v="17"/>
  </r>
  <r>
    <x v="0"/>
    <s v="No"/>
    <s v="Sun"/>
    <x v="0"/>
    <n v="3"/>
    <n v="16.97"/>
    <x v="2"/>
  </r>
  <r>
    <x v="1"/>
    <s v="No"/>
    <s v="Sat"/>
    <x v="0"/>
    <n v="3"/>
    <n v="20.65"/>
    <x v="18"/>
  </r>
  <r>
    <x v="1"/>
    <s v="No"/>
    <s v="Sat"/>
    <x v="0"/>
    <n v="2"/>
    <n v="17.920000000000002"/>
    <x v="19"/>
  </r>
  <r>
    <x v="0"/>
    <s v="No"/>
    <s v="Sat"/>
    <x v="0"/>
    <n v="2"/>
    <n v="20.29"/>
    <x v="20"/>
  </r>
  <r>
    <x v="0"/>
    <s v="No"/>
    <s v="Sat"/>
    <x v="0"/>
    <n v="2"/>
    <n v="15.77"/>
    <x v="21"/>
  </r>
  <r>
    <x v="1"/>
    <s v="No"/>
    <s v="Sat"/>
    <x v="0"/>
    <n v="4"/>
    <n v="39.42"/>
    <x v="22"/>
  </r>
  <r>
    <x v="1"/>
    <s v="No"/>
    <s v="Sat"/>
    <x v="0"/>
    <n v="2"/>
    <n v="19.82"/>
    <x v="23"/>
  </r>
  <r>
    <x v="1"/>
    <s v="No"/>
    <s v="Sat"/>
    <x v="0"/>
    <n v="4"/>
    <n v="17.809999999999999"/>
    <x v="24"/>
  </r>
  <r>
    <x v="1"/>
    <s v="No"/>
    <s v="Sat"/>
    <x v="0"/>
    <n v="2"/>
    <n v="13.37"/>
    <x v="6"/>
  </r>
  <r>
    <x v="1"/>
    <s v="No"/>
    <s v="Sat"/>
    <x v="0"/>
    <n v="2"/>
    <n v="12.69"/>
    <x v="6"/>
  </r>
  <r>
    <x v="1"/>
    <s v="No"/>
    <s v="Sat"/>
    <x v="0"/>
    <n v="2"/>
    <n v="21.7"/>
    <x v="25"/>
  </r>
  <r>
    <x v="0"/>
    <s v="No"/>
    <s v="Sat"/>
    <x v="0"/>
    <n v="2"/>
    <n v="19.649999999999999"/>
    <x v="13"/>
  </r>
  <r>
    <x v="1"/>
    <s v="No"/>
    <s v="Sat"/>
    <x v="0"/>
    <n v="2"/>
    <n v="9.5500000000000007"/>
    <x v="26"/>
  </r>
  <r>
    <x v="1"/>
    <s v="No"/>
    <s v="Sat"/>
    <x v="0"/>
    <n v="4"/>
    <n v="18.350000000000001"/>
    <x v="27"/>
  </r>
  <r>
    <x v="0"/>
    <s v="No"/>
    <s v="Sat"/>
    <x v="0"/>
    <n v="2"/>
    <n v="15.06"/>
    <x v="13"/>
  </r>
  <r>
    <x v="0"/>
    <s v="No"/>
    <s v="Sat"/>
    <x v="0"/>
    <n v="4"/>
    <n v="20.69"/>
    <x v="28"/>
  </r>
  <r>
    <x v="1"/>
    <s v="No"/>
    <s v="Sat"/>
    <x v="0"/>
    <n v="2"/>
    <n v="17.78"/>
    <x v="29"/>
  </r>
  <r>
    <x v="1"/>
    <s v="No"/>
    <s v="Sat"/>
    <x v="0"/>
    <n v="3"/>
    <n v="24.06"/>
    <x v="30"/>
  </r>
  <r>
    <x v="1"/>
    <s v="No"/>
    <s v="Sat"/>
    <x v="0"/>
    <n v="3"/>
    <n v="16.309999999999999"/>
    <x v="6"/>
  </r>
  <r>
    <x v="0"/>
    <s v="No"/>
    <s v="Sat"/>
    <x v="0"/>
    <n v="3"/>
    <n v="16.93"/>
    <x v="31"/>
  </r>
  <r>
    <x v="1"/>
    <s v="No"/>
    <s v="Sat"/>
    <x v="0"/>
    <n v="3"/>
    <n v="18.690000000000001"/>
    <x v="32"/>
  </r>
  <r>
    <x v="1"/>
    <s v="No"/>
    <s v="Sat"/>
    <x v="0"/>
    <n v="3"/>
    <n v="31.27"/>
    <x v="11"/>
  </r>
  <r>
    <x v="1"/>
    <s v="No"/>
    <s v="Sat"/>
    <x v="0"/>
    <n v="3"/>
    <n v="16.04"/>
    <x v="33"/>
  </r>
  <r>
    <x v="1"/>
    <s v="No"/>
    <s v="Sun"/>
    <x v="0"/>
    <n v="2"/>
    <n v="17.46"/>
    <x v="34"/>
  </r>
  <r>
    <x v="1"/>
    <s v="No"/>
    <s v="Sun"/>
    <x v="0"/>
    <n v="2"/>
    <n v="13.94"/>
    <x v="35"/>
  </r>
  <r>
    <x v="1"/>
    <s v="No"/>
    <s v="Sun"/>
    <x v="0"/>
    <n v="2"/>
    <n v="9.68"/>
    <x v="36"/>
  </r>
  <r>
    <x v="1"/>
    <s v="No"/>
    <s v="Sun"/>
    <x v="0"/>
    <n v="4"/>
    <n v="30.4"/>
    <x v="37"/>
  </r>
  <r>
    <x v="1"/>
    <s v="No"/>
    <s v="Sun"/>
    <x v="0"/>
    <n v="2"/>
    <n v="18.29"/>
    <x v="13"/>
  </r>
  <r>
    <x v="1"/>
    <s v="No"/>
    <s v="Sun"/>
    <x v="0"/>
    <n v="2"/>
    <n v="22.23"/>
    <x v="11"/>
  </r>
  <r>
    <x v="1"/>
    <s v="No"/>
    <s v="Sun"/>
    <x v="0"/>
    <n v="4"/>
    <n v="32.4"/>
    <x v="38"/>
  </r>
  <r>
    <x v="1"/>
    <s v="No"/>
    <s v="Sun"/>
    <x v="0"/>
    <n v="3"/>
    <n v="28.55"/>
    <x v="39"/>
  </r>
  <r>
    <x v="1"/>
    <s v="No"/>
    <s v="Sun"/>
    <x v="0"/>
    <n v="2"/>
    <n v="18.04"/>
    <x v="13"/>
  </r>
  <r>
    <x v="1"/>
    <s v="No"/>
    <s v="Sun"/>
    <x v="0"/>
    <n v="2"/>
    <n v="12.54"/>
    <x v="27"/>
  </r>
  <r>
    <x v="0"/>
    <s v="No"/>
    <s v="Sun"/>
    <x v="0"/>
    <n v="2"/>
    <n v="10.29"/>
    <x v="40"/>
  </r>
  <r>
    <x v="0"/>
    <s v="No"/>
    <s v="Sun"/>
    <x v="0"/>
    <n v="4"/>
    <n v="34.81"/>
    <x v="41"/>
  </r>
  <r>
    <x v="1"/>
    <s v="No"/>
    <s v="Sun"/>
    <x v="0"/>
    <n v="2"/>
    <n v="9.94"/>
    <x v="42"/>
  </r>
  <r>
    <x v="1"/>
    <s v="No"/>
    <s v="Sun"/>
    <x v="0"/>
    <n v="4"/>
    <n v="25.56"/>
    <x v="43"/>
  </r>
  <r>
    <x v="1"/>
    <s v="No"/>
    <s v="Sun"/>
    <x v="0"/>
    <n v="2"/>
    <n v="19.489999999999998"/>
    <x v="44"/>
  </r>
  <r>
    <x v="1"/>
    <s v="Yes"/>
    <s v="Sat"/>
    <x v="0"/>
    <n v="4"/>
    <n v="38.01"/>
    <x v="13"/>
  </r>
  <r>
    <x v="0"/>
    <s v="No"/>
    <s v="Sat"/>
    <x v="0"/>
    <n v="2"/>
    <n v="26.41"/>
    <x v="45"/>
  </r>
  <r>
    <x v="1"/>
    <s v="Yes"/>
    <s v="Sat"/>
    <x v="0"/>
    <n v="2"/>
    <n v="11.24"/>
    <x v="46"/>
  </r>
  <r>
    <x v="1"/>
    <s v="No"/>
    <s v="Sat"/>
    <x v="0"/>
    <n v="4"/>
    <n v="48.27"/>
    <x v="47"/>
  </r>
  <r>
    <x v="1"/>
    <s v="Yes"/>
    <s v="Sat"/>
    <x v="0"/>
    <n v="2"/>
    <n v="20.29"/>
    <x v="48"/>
  </r>
  <r>
    <x v="1"/>
    <s v="Yes"/>
    <s v="Sat"/>
    <x v="0"/>
    <n v="2"/>
    <n v="13.81"/>
    <x v="6"/>
  </r>
  <r>
    <x v="1"/>
    <s v="Yes"/>
    <s v="Sat"/>
    <x v="0"/>
    <n v="2"/>
    <n v="11.02"/>
    <x v="49"/>
  </r>
  <r>
    <x v="1"/>
    <s v="Yes"/>
    <s v="Sat"/>
    <x v="0"/>
    <n v="4"/>
    <n v="18.29"/>
    <x v="50"/>
  </r>
  <r>
    <x v="1"/>
    <s v="No"/>
    <s v="Sat"/>
    <x v="0"/>
    <n v="3"/>
    <n v="17.59"/>
    <x v="51"/>
  </r>
  <r>
    <x v="1"/>
    <s v="No"/>
    <s v="Sat"/>
    <x v="0"/>
    <n v="3"/>
    <n v="20.079999999999998"/>
    <x v="52"/>
  </r>
  <r>
    <x v="0"/>
    <s v="No"/>
    <s v="Sat"/>
    <x v="0"/>
    <n v="2"/>
    <n v="16.45"/>
    <x v="53"/>
  </r>
  <r>
    <x v="0"/>
    <s v="Yes"/>
    <s v="Sat"/>
    <x v="0"/>
    <n v="1"/>
    <n v="3.07"/>
    <x v="54"/>
  </r>
  <r>
    <x v="1"/>
    <s v="No"/>
    <s v="Sat"/>
    <x v="0"/>
    <n v="2"/>
    <n v="20.23"/>
    <x v="55"/>
  </r>
  <r>
    <x v="1"/>
    <s v="Yes"/>
    <s v="Sat"/>
    <x v="0"/>
    <n v="2"/>
    <n v="15.01"/>
    <x v="56"/>
  </r>
  <r>
    <x v="1"/>
    <s v="No"/>
    <s v="Sat"/>
    <x v="0"/>
    <n v="2"/>
    <n v="12.02"/>
    <x v="57"/>
  </r>
  <r>
    <x v="0"/>
    <s v="No"/>
    <s v="Sat"/>
    <x v="0"/>
    <n v="3"/>
    <n v="17.07"/>
    <x v="13"/>
  </r>
  <r>
    <x v="0"/>
    <s v="Yes"/>
    <s v="Sat"/>
    <x v="0"/>
    <n v="2"/>
    <n v="26.86"/>
    <x v="58"/>
  </r>
  <r>
    <x v="0"/>
    <s v="Yes"/>
    <s v="Sat"/>
    <x v="0"/>
    <n v="2"/>
    <n v="25.28"/>
    <x v="11"/>
  </r>
  <r>
    <x v="0"/>
    <s v="No"/>
    <s v="Sat"/>
    <x v="0"/>
    <n v="2"/>
    <n v="14.73"/>
    <x v="59"/>
  </r>
  <r>
    <x v="1"/>
    <s v="No"/>
    <s v="Sat"/>
    <x v="0"/>
    <n v="2"/>
    <n v="10.51"/>
    <x v="60"/>
  </r>
  <r>
    <x v="1"/>
    <s v="Yes"/>
    <s v="Sat"/>
    <x v="0"/>
    <n v="2"/>
    <n v="17.920000000000002"/>
    <x v="61"/>
  </r>
  <r>
    <x v="1"/>
    <s v="No"/>
    <s v="Thur"/>
    <x v="1"/>
    <n v="4"/>
    <n v="27.2"/>
    <x v="62"/>
  </r>
  <r>
    <x v="1"/>
    <s v="No"/>
    <s v="Thur"/>
    <x v="1"/>
    <n v="2"/>
    <n v="22.76"/>
    <x v="13"/>
  </r>
  <r>
    <x v="1"/>
    <s v="No"/>
    <s v="Thur"/>
    <x v="1"/>
    <n v="2"/>
    <n v="17.29"/>
    <x v="63"/>
  </r>
  <r>
    <x v="1"/>
    <s v="Yes"/>
    <s v="Thur"/>
    <x v="1"/>
    <n v="2"/>
    <n v="19.440000000000001"/>
    <x v="13"/>
  </r>
  <r>
    <x v="1"/>
    <s v="No"/>
    <s v="Thur"/>
    <x v="1"/>
    <n v="2"/>
    <n v="16.66"/>
    <x v="64"/>
  </r>
  <r>
    <x v="0"/>
    <s v="No"/>
    <s v="Thur"/>
    <x v="1"/>
    <n v="1"/>
    <n v="10.07"/>
    <x v="65"/>
  </r>
  <r>
    <x v="1"/>
    <s v="Yes"/>
    <s v="Thur"/>
    <x v="1"/>
    <n v="2"/>
    <n v="32.68"/>
    <x v="11"/>
  </r>
  <r>
    <x v="1"/>
    <s v="No"/>
    <s v="Thur"/>
    <x v="1"/>
    <n v="2"/>
    <n v="15.98"/>
    <x v="66"/>
  </r>
  <r>
    <x v="0"/>
    <s v="No"/>
    <s v="Thur"/>
    <x v="1"/>
    <n v="4"/>
    <n v="34.83"/>
    <x v="67"/>
  </r>
  <r>
    <x v="1"/>
    <s v="No"/>
    <s v="Thur"/>
    <x v="1"/>
    <n v="2"/>
    <n v="13.03"/>
    <x v="6"/>
  </r>
  <r>
    <x v="1"/>
    <s v="No"/>
    <s v="Thur"/>
    <x v="1"/>
    <n v="2"/>
    <n v="18.28"/>
    <x v="62"/>
  </r>
  <r>
    <x v="1"/>
    <s v="No"/>
    <s v="Thur"/>
    <x v="1"/>
    <n v="2"/>
    <n v="24.71"/>
    <x v="68"/>
  </r>
  <r>
    <x v="1"/>
    <s v="No"/>
    <s v="Thur"/>
    <x v="1"/>
    <n v="2"/>
    <n v="21.16"/>
    <x v="13"/>
  </r>
  <r>
    <x v="1"/>
    <s v="Yes"/>
    <s v="Fri"/>
    <x v="0"/>
    <n v="2"/>
    <n v="28.97"/>
    <x v="13"/>
  </r>
  <r>
    <x v="1"/>
    <s v="No"/>
    <s v="Fri"/>
    <x v="0"/>
    <n v="2"/>
    <n v="22.49"/>
    <x v="2"/>
  </r>
  <r>
    <x v="0"/>
    <s v="Yes"/>
    <s v="Fri"/>
    <x v="0"/>
    <n v="2"/>
    <n v="5.75"/>
    <x v="54"/>
  </r>
  <r>
    <x v="0"/>
    <s v="Yes"/>
    <s v="Fri"/>
    <x v="0"/>
    <n v="2"/>
    <n v="16.32"/>
    <x v="25"/>
  </r>
  <r>
    <x v="0"/>
    <s v="No"/>
    <s v="Fri"/>
    <x v="0"/>
    <n v="2"/>
    <n v="22.75"/>
    <x v="69"/>
  </r>
  <r>
    <x v="1"/>
    <s v="Yes"/>
    <s v="Fri"/>
    <x v="0"/>
    <n v="4"/>
    <n v="40.17"/>
    <x v="70"/>
  </r>
  <r>
    <x v="1"/>
    <s v="Yes"/>
    <s v="Fri"/>
    <x v="0"/>
    <n v="2"/>
    <n v="27.28"/>
    <x v="62"/>
  </r>
  <r>
    <x v="1"/>
    <s v="Yes"/>
    <s v="Fri"/>
    <x v="0"/>
    <n v="2"/>
    <n v="12.03"/>
    <x v="45"/>
  </r>
  <r>
    <x v="1"/>
    <s v="Yes"/>
    <s v="Fri"/>
    <x v="0"/>
    <n v="2"/>
    <n v="21.01"/>
    <x v="13"/>
  </r>
  <r>
    <x v="1"/>
    <s v="No"/>
    <s v="Fri"/>
    <x v="0"/>
    <n v="2"/>
    <n v="12.46"/>
    <x v="45"/>
  </r>
  <r>
    <x v="0"/>
    <s v="Yes"/>
    <s v="Fri"/>
    <x v="0"/>
    <n v="2"/>
    <n v="11.35"/>
    <x v="27"/>
  </r>
  <r>
    <x v="0"/>
    <s v="Yes"/>
    <s v="Fri"/>
    <x v="0"/>
    <n v="2"/>
    <n v="15.38"/>
    <x v="13"/>
  </r>
  <r>
    <x v="0"/>
    <s v="Yes"/>
    <s v="Sat"/>
    <x v="0"/>
    <n v="3"/>
    <n v="44.3"/>
    <x v="27"/>
  </r>
  <r>
    <x v="0"/>
    <s v="Yes"/>
    <s v="Sat"/>
    <x v="0"/>
    <n v="2"/>
    <n v="22.42"/>
    <x v="71"/>
  </r>
  <r>
    <x v="0"/>
    <s v="No"/>
    <s v="Sat"/>
    <x v="0"/>
    <n v="2"/>
    <n v="20.92"/>
    <x v="19"/>
  </r>
  <r>
    <x v="1"/>
    <s v="Yes"/>
    <s v="Sat"/>
    <x v="0"/>
    <n v="2"/>
    <n v="15.36"/>
    <x v="72"/>
  </r>
  <r>
    <x v="1"/>
    <s v="Yes"/>
    <s v="Sat"/>
    <x v="0"/>
    <n v="2"/>
    <n v="20.49"/>
    <x v="73"/>
  </r>
  <r>
    <x v="1"/>
    <s v="Yes"/>
    <s v="Sat"/>
    <x v="0"/>
    <n v="2"/>
    <n v="25.21"/>
    <x v="74"/>
  </r>
  <r>
    <x v="1"/>
    <s v="No"/>
    <s v="Sat"/>
    <x v="0"/>
    <n v="2"/>
    <n v="18.239999999999998"/>
    <x v="50"/>
  </r>
  <r>
    <x v="0"/>
    <s v="Yes"/>
    <s v="Sat"/>
    <x v="0"/>
    <n v="2"/>
    <n v="14.31"/>
    <x v="62"/>
  </r>
  <r>
    <x v="1"/>
    <s v="No"/>
    <s v="Sat"/>
    <x v="0"/>
    <n v="2"/>
    <n v="14"/>
    <x v="13"/>
  </r>
  <r>
    <x v="0"/>
    <s v="No"/>
    <s v="Sat"/>
    <x v="0"/>
    <n v="1"/>
    <n v="7.25"/>
    <x v="54"/>
  </r>
  <r>
    <x v="1"/>
    <s v="No"/>
    <s v="Sun"/>
    <x v="0"/>
    <n v="3"/>
    <n v="38.07"/>
    <x v="62"/>
  </r>
  <r>
    <x v="1"/>
    <s v="No"/>
    <s v="Sun"/>
    <x v="0"/>
    <n v="2"/>
    <n v="23.95"/>
    <x v="75"/>
  </r>
  <r>
    <x v="0"/>
    <s v="No"/>
    <s v="Sun"/>
    <x v="0"/>
    <n v="3"/>
    <n v="25.71"/>
    <x v="62"/>
  </r>
  <r>
    <x v="0"/>
    <s v="No"/>
    <s v="Sun"/>
    <x v="0"/>
    <n v="2"/>
    <n v="17.309999999999999"/>
    <x v="2"/>
  </r>
  <r>
    <x v="1"/>
    <s v="No"/>
    <s v="Sun"/>
    <x v="0"/>
    <n v="4"/>
    <n v="29.93"/>
    <x v="76"/>
  </r>
  <r>
    <x v="0"/>
    <s v="No"/>
    <s v="Thur"/>
    <x v="1"/>
    <n v="2"/>
    <n v="10.65"/>
    <x v="45"/>
  </r>
  <r>
    <x v="0"/>
    <s v="No"/>
    <s v="Thur"/>
    <x v="1"/>
    <n v="2"/>
    <n v="12.43"/>
    <x v="77"/>
  </r>
  <r>
    <x v="0"/>
    <s v="No"/>
    <s v="Thur"/>
    <x v="1"/>
    <n v="4"/>
    <n v="24.08"/>
    <x v="78"/>
  </r>
  <r>
    <x v="1"/>
    <s v="No"/>
    <s v="Thur"/>
    <x v="1"/>
    <n v="2"/>
    <n v="11.69"/>
    <x v="32"/>
  </r>
  <r>
    <x v="0"/>
    <s v="No"/>
    <s v="Thur"/>
    <x v="1"/>
    <n v="2"/>
    <n v="13.42"/>
    <x v="79"/>
  </r>
  <r>
    <x v="1"/>
    <s v="No"/>
    <s v="Thur"/>
    <x v="1"/>
    <n v="2"/>
    <n v="14.26"/>
    <x v="27"/>
  </r>
  <r>
    <x v="1"/>
    <s v="No"/>
    <s v="Thur"/>
    <x v="1"/>
    <n v="2"/>
    <n v="15.95"/>
    <x v="6"/>
  </r>
  <r>
    <x v="0"/>
    <s v="No"/>
    <s v="Thur"/>
    <x v="1"/>
    <n v="2"/>
    <n v="12.48"/>
    <x v="80"/>
  </r>
  <r>
    <x v="0"/>
    <s v="No"/>
    <s v="Thur"/>
    <x v="1"/>
    <n v="6"/>
    <n v="29.8"/>
    <x v="81"/>
  </r>
  <r>
    <x v="1"/>
    <s v="No"/>
    <s v="Thur"/>
    <x v="1"/>
    <n v="2"/>
    <n v="8.52"/>
    <x v="82"/>
  </r>
  <r>
    <x v="0"/>
    <s v="No"/>
    <s v="Thur"/>
    <x v="1"/>
    <n v="2"/>
    <n v="14.52"/>
    <x v="6"/>
  </r>
  <r>
    <x v="0"/>
    <s v="No"/>
    <s v="Thur"/>
    <x v="1"/>
    <n v="2"/>
    <n v="11.38"/>
    <x v="6"/>
  </r>
  <r>
    <x v="1"/>
    <s v="No"/>
    <s v="Thur"/>
    <x v="1"/>
    <n v="3"/>
    <n v="22.82"/>
    <x v="83"/>
  </r>
  <r>
    <x v="1"/>
    <s v="No"/>
    <s v="Thur"/>
    <x v="1"/>
    <n v="2"/>
    <n v="19.079999999999998"/>
    <x v="45"/>
  </r>
  <r>
    <x v="0"/>
    <s v="No"/>
    <s v="Thur"/>
    <x v="1"/>
    <n v="2"/>
    <n v="20.27"/>
    <x v="84"/>
  </r>
  <r>
    <x v="0"/>
    <s v="No"/>
    <s v="Thur"/>
    <x v="1"/>
    <n v="2"/>
    <n v="11.17"/>
    <x v="45"/>
  </r>
  <r>
    <x v="0"/>
    <s v="No"/>
    <s v="Thur"/>
    <x v="1"/>
    <n v="2"/>
    <n v="12.26"/>
    <x v="6"/>
  </r>
  <r>
    <x v="0"/>
    <s v="No"/>
    <s v="Thur"/>
    <x v="1"/>
    <n v="2"/>
    <n v="18.260000000000002"/>
    <x v="69"/>
  </r>
  <r>
    <x v="0"/>
    <s v="No"/>
    <s v="Thur"/>
    <x v="1"/>
    <n v="2"/>
    <n v="8.51"/>
    <x v="60"/>
  </r>
  <r>
    <x v="0"/>
    <s v="No"/>
    <s v="Thur"/>
    <x v="1"/>
    <n v="2"/>
    <n v="10.33"/>
    <x v="6"/>
  </r>
  <r>
    <x v="0"/>
    <s v="No"/>
    <s v="Thur"/>
    <x v="1"/>
    <n v="2"/>
    <n v="14.15"/>
    <x v="6"/>
  </r>
  <r>
    <x v="1"/>
    <s v="Yes"/>
    <s v="Thur"/>
    <x v="1"/>
    <n v="2"/>
    <n v="16"/>
    <x v="6"/>
  </r>
  <r>
    <x v="0"/>
    <s v="No"/>
    <s v="Thur"/>
    <x v="1"/>
    <n v="2"/>
    <n v="13.16"/>
    <x v="20"/>
  </r>
  <r>
    <x v="0"/>
    <s v="No"/>
    <s v="Thur"/>
    <x v="1"/>
    <n v="2"/>
    <n v="17.47"/>
    <x v="2"/>
  </r>
  <r>
    <x v="1"/>
    <s v="No"/>
    <s v="Thur"/>
    <x v="1"/>
    <n v="6"/>
    <n v="34.299999999999997"/>
    <x v="85"/>
  </r>
  <r>
    <x v="1"/>
    <s v="No"/>
    <s v="Thur"/>
    <x v="1"/>
    <n v="5"/>
    <n v="41.19"/>
    <x v="11"/>
  </r>
  <r>
    <x v="0"/>
    <s v="No"/>
    <s v="Thur"/>
    <x v="1"/>
    <n v="6"/>
    <n v="27.05"/>
    <x v="11"/>
  </r>
  <r>
    <x v="0"/>
    <s v="No"/>
    <s v="Thur"/>
    <x v="1"/>
    <n v="2"/>
    <n v="16.43"/>
    <x v="86"/>
  </r>
  <r>
    <x v="0"/>
    <s v="No"/>
    <s v="Thur"/>
    <x v="1"/>
    <n v="2"/>
    <n v="8.35"/>
    <x v="45"/>
  </r>
  <r>
    <x v="0"/>
    <s v="No"/>
    <s v="Thur"/>
    <x v="1"/>
    <n v="3"/>
    <n v="18.64"/>
    <x v="87"/>
  </r>
  <r>
    <x v="0"/>
    <s v="No"/>
    <s v="Thur"/>
    <x v="1"/>
    <n v="2"/>
    <n v="11.87"/>
    <x v="88"/>
  </r>
  <r>
    <x v="1"/>
    <s v="No"/>
    <s v="Thur"/>
    <x v="1"/>
    <n v="2"/>
    <n v="9.7799999999999994"/>
    <x v="89"/>
  </r>
  <r>
    <x v="1"/>
    <s v="No"/>
    <s v="Thur"/>
    <x v="1"/>
    <n v="2"/>
    <n v="7.51"/>
    <x v="6"/>
  </r>
  <r>
    <x v="1"/>
    <s v="No"/>
    <s v="Sun"/>
    <x v="0"/>
    <n v="2"/>
    <n v="14.07"/>
    <x v="27"/>
  </r>
  <r>
    <x v="1"/>
    <s v="No"/>
    <s v="Sun"/>
    <x v="0"/>
    <n v="2"/>
    <n v="13.13"/>
    <x v="6"/>
  </r>
  <r>
    <x v="1"/>
    <s v="No"/>
    <s v="Sun"/>
    <x v="0"/>
    <n v="3"/>
    <n v="17.260000000000002"/>
    <x v="90"/>
  </r>
  <r>
    <x v="1"/>
    <s v="No"/>
    <s v="Sun"/>
    <x v="0"/>
    <n v="4"/>
    <n v="24.55"/>
    <x v="6"/>
  </r>
  <r>
    <x v="1"/>
    <s v="No"/>
    <s v="Sun"/>
    <x v="0"/>
    <n v="4"/>
    <n v="19.77"/>
    <x v="6"/>
  </r>
  <r>
    <x v="0"/>
    <s v="No"/>
    <s v="Sun"/>
    <x v="0"/>
    <n v="5"/>
    <n v="29.85"/>
    <x v="91"/>
  </r>
  <r>
    <x v="1"/>
    <s v="No"/>
    <s v="Sun"/>
    <x v="0"/>
    <n v="6"/>
    <n v="48.17"/>
    <x v="11"/>
  </r>
  <r>
    <x v="0"/>
    <s v="No"/>
    <s v="Sun"/>
    <x v="0"/>
    <n v="4"/>
    <n v="25"/>
    <x v="92"/>
  </r>
  <r>
    <x v="0"/>
    <s v="No"/>
    <s v="Sun"/>
    <x v="0"/>
    <n v="2"/>
    <n v="13.39"/>
    <x v="93"/>
  </r>
  <r>
    <x v="1"/>
    <s v="No"/>
    <s v="Sun"/>
    <x v="0"/>
    <n v="4"/>
    <n v="16.489999999999998"/>
    <x v="6"/>
  </r>
  <r>
    <x v="1"/>
    <s v="No"/>
    <s v="Sun"/>
    <x v="0"/>
    <n v="4"/>
    <n v="21.5"/>
    <x v="2"/>
  </r>
  <r>
    <x v="1"/>
    <s v="No"/>
    <s v="Sun"/>
    <x v="0"/>
    <n v="2"/>
    <n v="12.66"/>
    <x v="27"/>
  </r>
  <r>
    <x v="0"/>
    <s v="No"/>
    <s v="Sun"/>
    <x v="0"/>
    <n v="3"/>
    <n v="16.21"/>
    <x v="6"/>
  </r>
  <r>
    <x v="1"/>
    <s v="No"/>
    <s v="Sun"/>
    <x v="0"/>
    <n v="2"/>
    <n v="13.81"/>
    <x v="6"/>
  </r>
  <r>
    <x v="0"/>
    <s v="Yes"/>
    <s v="Sun"/>
    <x v="0"/>
    <n v="2"/>
    <n v="17.510000000000002"/>
    <x v="13"/>
  </r>
  <r>
    <x v="1"/>
    <s v="No"/>
    <s v="Sun"/>
    <x v="0"/>
    <n v="3"/>
    <n v="24.52"/>
    <x v="71"/>
  </r>
  <r>
    <x v="1"/>
    <s v="No"/>
    <s v="Sun"/>
    <x v="0"/>
    <n v="2"/>
    <n v="20.76"/>
    <x v="33"/>
  </r>
  <r>
    <x v="1"/>
    <s v="No"/>
    <s v="Sun"/>
    <x v="0"/>
    <n v="4"/>
    <n v="31.71"/>
    <x v="94"/>
  </r>
  <r>
    <x v="0"/>
    <s v="Yes"/>
    <s v="Sat"/>
    <x v="0"/>
    <n v="2"/>
    <n v="10.59"/>
    <x v="95"/>
  </r>
  <r>
    <x v="0"/>
    <s v="Yes"/>
    <s v="Sat"/>
    <x v="0"/>
    <n v="2"/>
    <n v="10.63"/>
    <x v="6"/>
  </r>
  <r>
    <x v="1"/>
    <s v="Yes"/>
    <s v="Sat"/>
    <x v="0"/>
    <n v="3"/>
    <n v="50.81"/>
    <x v="96"/>
  </r>
  <r>
    <x v="1"/>
    <s v="Yes"/>
    <s v="Sat"/>
    <x v="0"/>
    <n v="2"/>
    <n v="15.81"/>
    <x v="97"/>
  </r>
  <r>
    <x v="1"/>
    <s v="Yes"/>
    <s v="Sun"/>
    <x v="0"/>
    <n v="2"/>
    <n v="7.25"/>
    <x v="98"/>
  </r>
  <r>
    <x v="1"/>
    <s v="Yes"/>
    <s v="Sun"/>
    <x v="0"/>
    <n v="2"/>
    <n v="31.85"/>
    <x v="23"/>
  </r>
  <r>
    <x v="1"/>
    <s v="Yes"/>
    <s v="Sun"/>
    <x v="0"/>
    <n v="2"/>
    <n v="16.82"/>
    <x v="62"/>
  </r>
  <r>
    <x v="1"/>
    <s v="Yes"/>
    <s v="Sun"/>
    <x v="0"/>
    <n v="2"/>
    <n v="32.9"/>
    <x v="99"/>
  </r>
  <r>
    <x v="1"/>
    <s v="Yes"/>
    <s v="Sun"/>
    <x v="0"/>
    <n v="2"/>
    <n v="17.89"/>
    <x v="6"/>
  </r>
  <r>
    <x v="1"/>
    <s v="Yes"/>
    <s v="Sun"/>
    <x v="0"/>
    <n v="2"/>
    <n v="14.48"/>
    <x v="6"/>
  </r>
  <r>
    <x v="0"/>
    <s v="Yes"/>
    <s v="Sun"/>
    <x v="0"/>
    <n v="2"/>
    <n v="9.6"/>
    <x v="62"/>
  </r>
  <r>
    <x v="1"/>
    <s v="Yes"/>
    <s v="Sun"/>
    <x v="0"/>
    <n v="2"/>
    <n v="34.630000000000003"/>
    <x v="100"/>
  </r>
  <r>
    <x v="1"/>
    <s v="Yes"/>
    <s v="Sun"/>
    <x v="0"/>
    <n v="4"/>
    <n v="34.65"/>
    <x v="101"/>
  </r>
  <r>
    <x v="1"/>
    <s v="Yes"/>
    <s v="Sun"/>
    <x v="0"/>
    <n v="2"/>
    <n v="23.33"/>
    <x v="102"/>
  </r>
  <r>
    <x v="1"/>
    <s v="Yes"/>
    <s v="Sun"/>
    <x v="0"/>
    <n v="3"/>
    <n v="45.35"/>
    <x v="2"/>
  </r>
  <r>
    <x v="1"/>
    <s v="Yes"/>
    <s v="Sun"/>
    <x v="0"/>
    <n v="4"/>
    <n v="23.17"/>
    <x v="103"/>
  </r>
  <r>
    <x v="1"/>
    <s v="Yes"/>
    <s v="Sun"/>
    <x v="0"/>
    <n v="2"/>
    <n v="40.549999999999997"/>
    <x v="13"/>
  </r>
  <r>
    <x v="1"/>
    <s v="No"/>
    <s v="Sun"/>
    <x v="0"/>
    <n v="5"/>
    <n v="20.69"/>
    <x v="11"/>
  </r>
  <r>
    <x v="0"/>
    <s v="Yes"/>
    <s v="Sun"/>
    <x v="0"/>
    <n v="3"/>
    <n v="20.9"/>
    <x v="2"/>
  </r>
  <r>
    <x v="1"/>
    <s v="Yes"/>
    <s v="Sun"/>
    <x v="0"/>
    <n v="5"/>
    <n v="30.46"/>
    <x v="6"/>
  </r>
  <r>
    <x v="0"/>
    <s v="Yes"/>
    <s v="Sun"/>
    <x v="0"/>
    <n v="3"/>
    <n v="18.149999999999999"/>
    <x v="2"/>
  </r>
  <r>
    <x v="1"/>
    <s v="Yes"/>
    <s v="Sun"/>
    <x v="0"/>
    <n v="3"/>
    <n v="23.1"/>
    <x v="62"/>
  </r>
  <r>
    <x v="1"/>
    <s v="Yes"/>
    <s v="Sun"/>
    <x v="0"/>
    <n v="2"/>
    <n v="15.69"/>
    <x v="45"/>
  </r>
  <r>
    <x v="0"/>
    <s v="Yes"/>
    <s v="Thur"/>
    <x v="1"/>
    <n v="2"/>
    <n v="19.809999999999999"/>
    <x v="104"/>
  </r>
  <r>
    <x v="1"/>
    <s v="Yes"/>
    <s v="Thur"/>
    <x v="1"/>
    <n v="2"/>
    <n v="28.44"/>
    <x v="105"/>
  </r>
  <r>
    <x v="1"/>
    <s v="Yes"/>
    <s v="Thur"/>
    <x v="1"/>
    <n v="2"/>
    <n v="15.48"/>
    <x v="106"/>
  </r>
  <r>
    <x v="1"/>
    <s v="Yes"/>
    <s v="Thur"/>
    <x v="1"/>
    <n v="2"/>
    <n v="16.579999999999998"/>
    <x v="62"/>
  </r>
  <r>
    <x v="1"/>
    <s v="No"/>
    <s v="Thur"/>
    <x v="1"/>
    <n v="2"/>
    <n v="7.56"/>
    <x v="107"/>
  </r>
  <r>
    <x v="1"/>
    <s v="Yes"/>
    <s v="Thur"/>
    <x v="1"/>
    <n v="2"/>
    <n v="10.34"/>
    <x v="6"/>
  </r>
  <r>
    <x v="0"/>
    <s v="Yes"/>
    <s v="Thur"/>
    <x v="1"/>
    <n v="4"/>
    <n v="43.11"/>
    <x v="11"/>
  </r>
  <r>
    <x v="0"/>
    <s v="Yes"/>
    <s v="Thur"/>
    <x v="1"/>
    <n v="2"/>
    <n v="13"/>
    <x v="6"/>
  </r>
  <r>
    <x v="1"/>
    <s v="Yes"/>
    <s v="Thur"/>
    <x v="1"/>
    <n v="2"/>
    <n v="13.51"/>
    <x v="6"/>
  </r>
  <r>
    <x v="1"/>
    <s v="Yes"/>
    <s v="Thur"/>
    <x v="1"/>
    <n v="3"/>
    <n v="18.71"/>
    <x v="62"/>
  </r>
  <r>
    <x v="0"/>
    <s v="Yes"/>
    <s v="Thur"/>
    <x v="1"/>
    <n v="2"/>
    <n v="12.74"/>
    <x v="55"/>
  </r>
  <r>
    <x v="0"/>
    <s v="Yes"/>
    <s v="Thur"/>
    <x v="1"/>
    <n v="2"/>
    <n v="16.399999999999999"/>
    <x v="27"/>
  </r>
  <r>
    <x v="1"/>
    <s v="Yes"/>
    <s v="Thur"/>
    <x v="1"/>
    <n v="4"/>
    <n v="20.53"/>
    <x v="62"/>
  </r>
  <r>
    <x v="0"/>
    <s v="Yes"/>
    <s v="Thur"/>
    <x v="1"/>
    <n v="3"/>
    <n v="16.47"/>
    <x v="9"/>
  </r>
  <r>
    <x v="1"/>
    <s v="Yes"/>
    <s v="Sat"/>
    <x v="0"/>
    <n v="3"/>
    <n v="26.59"/>
    <x v="108"/>
  </r>
  <r>
    <x v="1"/>
    <s v="Yes"/>
    <s v="Sat"/>
    <x v="0"/>
    <n v="4"/>
    <n v="38.729999999999997"/>
    <x v="13"/>
  </r>
  <r>
    <x v="1"/>
    <s v="Yes"/>
    <s v="Sat"/>
    <x v="0"/>
    <n v="2"/>
    <n v="24.27"/>
    <x v="66"/>
  </r>
  <r>
    <x v="0"/>
    <s v="Yes"/>
    <s v="Sat"/>
    <x v="0"/>
    <n v="2"/>
    <n v="12.76"/>
    <x v="21"/>
  </r>
  <r>
    <x v="1"/>
    <s v="Yes"/>
    <s v="Sat"/>
    <x v="0"/>
    <n v="3"/>
    <n v="30.06"/>
    <x v="6"/>
  </r>
  <r>
    <x v="1"/>
    <s v="Yes"/>
    <s v="Sat"/>
    <x v="0"/>
    <n v="4"/>
    <n v="25.89"/>
    <x v="109"/>
  </r>
  <r>
    <x v="1"/>
    <s v="No"/>
    <s v="Sat"/>
    <x v="0"/>
    <n v="4"/>
    <n v="48.33"/>
    <x v="110"/>
  </r>
  <r>
    <x v="0"/>
    <s v="Yes"/>
    <s v="Sat"/>
    <x v="0"/>
    <n v="2"/>
    <n v="13.27"/>
    <x v="27"/>
  </r>
  <r>
    <x v="0"/>
    <s v="Yes"/>
    <s v="Sat"/>
    <x v="0"/>
    <n v="3"/>
    <n v="28.17"/>
    <x v="103"/>
  </r>
  <r>
    <x v="0"/>
    <s v="Yes"/>
    <s v="Sat"/>
    <x v="0"/>
    <n v="2"/>
    <n v="12.9"/>
    <x v="111"/>
  </r>
  <r>
    <x v="1"/>
    <s v="Yes"/>
    <s v="Sat"/>
    <x v="0"/>
    <n v="5"/>
    <n v="28.15"/>
    <x v="13"/>
  </r>
  <r>
    <x v="1"/>
    <s v="Yes"/>
    <s v="Sat"/>
    <x v="0"/>
    <n v="2"/>
    <n v="11.59"/>
    <x v="45"/>
  </r>
  <r>
    <x v="1"/>
    <s v="Yes"/>
    <s v="Sat"/>
    <x v="0"/>
    <n v="2"/>
    <n v="7.74"/>
    <x v="107"/>
  </r>
  <r>
    <x v="0"/>
    <s v="Yes"/>
    <s v="Sat"/>
    <x v="0"/>
    <n v="4"/>
    <n v="30.14"/>
    <x v="112"/>
  </r>
  <r>
    <x v="1"/>
    <s v="Yes"/>
    <s v="Fri"/>
    <x v="1"/>
    <n v="2"/>
    <n v="12.16"/>
    <x v="59"/>
  </r>
  <r>
    <x v="0"/>
    <s v="Yes"/>
    <s v="Fri"/>
    <x v="1"/>
    <n v="2"/>
    <n v="13.42"/>
    <x v="71"/>
  </r>
  <r>
    <x v="1"/>
    <s v="Yes"/>
    <s v="Fri"/>
    <x v="1"/>
    <n v="1"/>
    <n v="8.58"/>
    <x v="113"/>
  </r>
  <r>
    <x v="0"/>
    <s v="No"/>
    <s v="Fri"/>
    <x v="1"/>
    <n v="3"/>
    <n v="15.98"/>
    <x v="13"/>
  </r>
  <r>
    <x v="1"/>
    <s v="Yes"/>
    <s v="Fri"/>
    <x v="1"/>
    <n v="2"/>
    <n v="13.42"/>
    <x v="114"/>
  </r>
  <r>
    <x v="0"/>
    <s v="Yes"/>
    <s v="Fri"/>
    <x v="1"/>
    <n v="2"/>
    <n v="16.27"/>
    <x v="27"/>
  </r>
  <r>
    <x v="0"/>
    <s v="Yes"/>
    <s v="Fri"/>
    <x v="1"/>
    <n v="2"/>
    <n v="10.09"/>
    <x v="6"/>
  </r>
  <r>
    <x v="1"/>
    <s v="No"/>
    <s v="Sat"/>
    <x v="0"/>
    <n v="4"/>
    <n v="20.45"/>
    <x v="13"/>
  </r>
  <r>
    <x v="1"/>
    <s v="No"/>
    <s v="Sat"/>
    <x v="0"/>
    <n v="2"/>
    <n v="13.28"/>
    <x v="115"/>
  </r>
  <r>
    <x v="0"/>
    <s v="Yes"/>
    <s v="Sat"/>
    <x v="0"/>
    <n v="2"/>
    <n v="22.12"/>
    <x v="116"/>
  </r>
  <r>
    <x v="1"/>
    <s v="Yes"/>
    <s v="Sat"/>
    <x v="0"/>
    <n v="4"/>
    <n v="24.01"/>
    <x v="6"/>
  </r>
  <r>
    <x v="1"/>
    <s v="Yes"/>
    <s v="Sat"/>
    <x v="0"/>
    <n v="3"/>
    <n v="15.69"/>
    <x v="13"/>
  </r>
  <r>
    <x v="1"/>
    <s v="No"/>
    <s v="Sat"/>
    <x v="0"/>
    <n v="2"/>
    <n v="11.61"/>
    <x v="117"/>
  </r>
  <r>
    <x v="1"/>
    <s v="No"/>
    <s v="Sat"/>
    <x v="0"/>
    <n v="2"/>
    <n v="10.77"/>
    <x v="118"/>
  </r>
  <r>
    <x v="1"/>
    <s v="Yes"/>
    <s v="Sat"/>
    <x v="0"/>
    <n v="2"/>
    <n v="15.53"/>
    <x v="13"/>
  </r>
  <r>
    <x v="1"/>
    <s v="No"/>
    <s v="Sat"/>
    <x v="0"/>
    <n v="2"/>
    <n v="10.07"/>
    <x v="60"/>
  </r>
  <r>
    <x v="1"/>
    <s v="Yes"/>
    <s v="Sat"/>
    <x v="0"/>
    <n v="2"/>
    <n v="12.6"/>
    <x v="54"/>
  </r>
  <r>
    <x v="1"/>
    <s v="Yes"/>
    <s v="Sat"/>
    <x v="0"/>
    <n v="2"/>
    <n v="32.83"/>
    <x v="119"/>
  </r>
  <r>
    <x v="0"/>
    <s v="No"/>
    <s v="Sat"/>
    <x v="0"/>
    <n v="3"/>
    <n v="35.83"/>
    <x v="120"/>
  </r>
  <r>
    <x v="1"/>
    <s v="No"/>
    <s v="Sat"/>
    <x v="0"/>
    <n v="3"/>
    <n v="29.03"/>
    <x v="121"/>
  </r>
  <r>
    <x v="0"/>
    <s v="Yes"/>
    <s v="Sat"/>
    <x v="0"/>
    <n v="2"/>
    <n v="27.18"/>
    <x v="6"/>
  </r>
  <r>
    <x v="1"/>
    <s v="Yes"/>
    <s v="Sat"/>
    <x v="0"/>
    <n v="2"/>
    <n v="22.67"/>
    <x v="6"/>
  </r>
  <r>
    <x v="1"/>
    <s v="No"/>
    <s v="Sat"/>
    <x v="0"/>
    <n v="2"/>
    <n v="17.82"/>
    <x v="122"/>
  </r>
  <r>
    <x v="0"/>
    <s v="No"/>
    <s v="Thur"/>
    <x v="0"/>
    <n v="2"/>
    <n v="18.78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9683D-B27C-47D0-8FC0-3C1E52F605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3:D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C70DD-9172-4321-BF2D-A0E94E8C2C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2:Q6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p" fld="6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5"/>
  <sheetViews>
    <sheetView workbookViewId="0">
      <selection activeCell="N3" sqref="N3"/>
    </sheetView>
  </sheetViews>
  <sheetFormatPr defaultColWidth="13.44140625" defaultRowHeight="14.4" x14ac:dyDescent="0.3"/>
  <cols>
    <col min="11" max="11" width="4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>
        <v>2</v>
      </c>
    </row>
    <row r="205" spans="1:7" x14ac:dyDescent="0.3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>
        <v>2.5</v>
      </c>
    </row>
    <row r="206" spans="1:7" x14ac:dyDescent="0.3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>
        <v>4</v>
      </c>
    </row>
    <row r="207" spans="1:7" x14ac:dyDescent="0.3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>
        <v>3.23</v>
      </c>
    </row>
    <row r="208" spans="1:7" x14ac:dyDescent="0.3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>
        <v>3.41</v>
      </c>
    </row>
    <row r="209" spans="1:7" x14ac:dyDescent="0.3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>
        <v>3</v>
      </c>
    </row>
    <row r="210" spans="1:7" x14ac:dyDescent="0.3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>
        <v>2.0299999999999998</v>
      </c>
    </row>
    <row r="211" spans="1:7" x14ac:dyDescent="0.3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>
        <v>2.23</v>
      </c>
    </row>
    <row r="212" spans="1:7" x14ac:dyDescent="0.3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>
        <v>2</v>
      </c>
    </row>
    <row r="213" spans="1:7" x14ac:dyDescent="0.3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>
        <v>5.16</v>
      </c>
    </row>
    <row r="214" spans="1:7" x14ac:dyDescent="0.3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>
        <v>9</v>
      </c>
    </row>
    <row r="215" spans="1:7" x14ac:dyDescent="0.3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>
        <v>2.5</v>
      </c>
    </row>
    <row r="216" spans="1:7" x14ac:dyDescent="0.3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>
        <v>6.5</v>
      </c>
    </row>
    <row r="217" spans="1:7" x14ac:dyDescent="0.3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>
        <v>1.1000000000000001</v>
      </c>
    </row>
    <row r="218" spans="1:7" x14ac:dyDescent="0.3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>
        <v>3</v>
      </c>
    </row>
    <row r="219" spans="1:7" x14ac:dyDescent="0.3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>
        <v>1.5</v>
      </c>
    </row>
    <row r="220" spans="1:7" x14ac:dyDescent="0.3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>
        <v>1.44</v>
      </c>
    </row>
    <row r="221" spans="1:7" x14ac:dyDescent="0.3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>
        <v>3.09</v>
      </c>
    </row>
    <row r="222" spans="1:7" x14ac:dyDescent="0.3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>
        <v>2.2000000000000002</v>
      </c>
    </row>
    <row r="223" spans="1:7" x14ac:dyDescent="0.3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>
        <v>3.48</v>
      </c>
    </row>
    <row r="224" spans="1:7" x14ac:dyDescent="0.3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>
        <v>1.92</v>
      </c>
    </row>
    <row r="225" spans="1:7" x14ac:dyDescent="0.3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>
        <v>3</v>
      </c>
    </row>
    <row r="226" spans="1:7" x14ac:dyDescent="0.3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>
        <v>1.58</v>
      </c>
    </row>
    <row r="227" spans="1:7" x14ac:dyDescent="0.3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>
        <v>2.5</v>
      </c>
    </row>
    <row r="228" spans="1:7" x14ac:dyDescent="0.3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>
        <v>2</v>
      </c>
    </row>
    <row r="229" spans="1:7" x14ac:dyDescent="0.3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>
        <v>3</v>
      </c>
    </row>
    <row r="230" spans="1:7" x14ac:dyDescent="0.3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>
        <v>2.72</v>
      </c>
    </row>
    <row r="231" spans="1:7" x14ac:dyDescent="0.3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>
        <v>2.88</v>
      </c>
    </row>
    <row r="232" spans="1:7" x14ac:dyDescent="0.3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>
        <v>2</v>
      </c>
    </row>
    <row r="233" spans="1:7" x14ac:dyDescent="0.3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>
        <v>3</v>
      </c>
    </row>
    <row r="234" spans="1:7" x14ac:dyDescent="0.3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>
        <v>3.39</v>
      </c>
    </row>
    <row r="235" spans="1:7" x14ac:dyDescent="0.3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>
        <v>1.47</v>
      </c>
    </row>
    <row r="236" spans="1:7" x14ac:dyDescent="0.3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>
        <v>3</v>
      </c>
    </row>
    <row r="237" spans="1:7" x14ac:dyDescent="0.3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>
        <v>1.25</v>
      </c>
    </row>
    <row r="238" spans="1:7" x14ac:dyDescent="0.3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>
        <v>1</v>
      </c>
    </row>
    <row r="239" spans="1:7" x14ac:dyDescent="0.3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>
        <v>1.17</v>
      </c>
    </row>
    <row r="240" spans="1:7" x14ac:dyDescent="0.3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>
        <v>4.67</v>
      </c>
    </row>
    <row r="241" spans="1:7" x14ac:dyDescent="0.3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>
        <v>5.92</v>
      </c>
    </row>
    <row r="242" spans="1:7" x14ac:dyDescent="0.3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>
        <v>2</v>
      </c>
    </row>
    <row r="243" spans="1:7" x14ac:dyDescent="0.3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>
        <v>2</v>
      </c>
    </row>
    <row r="244" spans="1:7" x14ac:dyDescent="0.3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>
        <v>1.75</v>
      </c>
    </row>
    <row r="245" spans="1:7" x14ac:dyDescent="0.3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B2AD-BC4D-45C6-93BD-A314DF3EAF85}">
  <dimension ref="C2:Q6"/>
  <sheetViews>
    <sheetView showGridLines="0" topLeftCell="A2" workbookViewId="0">
      <selection activeCell="J7" sqref="J7"/>
    </sheetView>
  </sheetViews>
  <sheetFormatPr defaultRowHeight="14.4" x14ac:dyDescent="0.3"/>
  <cols>
    <col min="3" max="3" width="12.5546875" bestFit="1" customWidth="1"/>
    <col min="4" max="4" width="15.5546875" bestFit="1" customWidth="1"/>
    <col min="5" max="5" width="7" bestFit="1" customWidth="1"/>
    <col min="6" max="6" width="10.77734375" bestFit="1" customWidth="1"/>
    <col min="14" max="14" width="18" customWidth="1"/>
    <col min="15" max="15" width="14" customWidth="1"/>
    <col min="16" max="16" width="11.88671875" customWidth="1"/>
    <col min="17" max="17" width="14.33203125" customWidth="1"/>
  </cols>
  <sheetData>
    <row r="2" spans="3:17" x14ac:dyDescent="0.3">
      <c r="N2" s="3" t="s">
        <v>28</v>
      </c>
      <c r="O2" s="3" t="s">
        <v>29</v>
      </c>
    </row>
    <row r="3" spans="3:17" x14ac:dyDescent="0.3">
      <c r="C3" s="3" t="s">
        <v>26</v>
      </c>
      <c r="D3" t="s">
        <v>28</v>
      </c>
      <c r="N3" s="3" t="s">
        <v>26</v>
      </c>
      <c r="O3" t="s">
        <v>7</v>
      </c>
      <c r="P3" t="s">
        <v>11</v>
      </c>
      <c r="Q3" t="s">
        <v>27</v>
      </c>
    </row>
    <row r="4" spans="3:17" x14ac:dyDescent="0.3">
      <c r="C4" s="4" t="s">
        <v>7</v>
      </c>
      <c r="D4">
        <v>244.51</v>
      </c>
      <c r="N4" s="4" t="s">
        <v>10</v>
      </c>
      <c r="O4">
        <v>156.10999999999999</v>
      </c>
      <c r="P4">
        <v>389.96000000000004</v>
      </c>
      <c r="Q4">
        <v>546.07000000000005</v>
      </c>
    </row>
    <row r="5" spans="3:17" x14ac:dyDescent="0.3">
      <c r="C5" s="4" t="s">
        <v>11</v>
      </c>
      <c r="D5">
        <v>485.07000000000011</v>
      </c>
      <c r="N5" s="4" t="s">
        <v>24</v>
      </c>
      <c r="O5">
        <v>88.40000000000002</v>
      </c>
      <c r="P5">
        <v>95.11</v>
      </c>
      <c r="Q5">
        <v>183.51000000000002</v>
      </c>
    </row>
    <row r="6" spans="3:17" x14ac:dyDescent="0.3">
      <c r="C6" s="4" t="s">
        <v>27</v>
      </c>
      <c r="D6">
        <v>729.58000000000015</v>
      </c>
      <c r="N6" s="4" t="s">
        <v>27</v>
      </c>
      <c r="O6">
        <v>244.51</v>
      </c>
      <c r="P6">
        <v>485.07000000000005</v>
      </c>
      <c r="Q6">
        <v>729.58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90F8-B3E6-4B1C-A816-EC9276920626}">
  <dimension ref="D3:K11"/>
  <sheetViews>
    <sheetView workbookViewId="0">
      <selection activeCell="N12" sqref="N12"/>
    </sheetView>
  </sheetViews>
  <sheetFormatPr defaultRowHeight="14.4" x14ac:dyDescent="0.3"/>
  <sheetData>
    <row r="3" spans="4:11" ht="15" thickBot="1" x14ac:dyDescent="0.35">
      <c r="D3" s="19" t="s">
        <v>55</v>
      </c>
      <c r="E3" s="19"/>
      <c r="F3" s="19"/>
      <c r="G3" s="19"/>
      <c r="H3" s="19"/>
      <c r="I3" s="19"/>
      <c r="J3" s="19"/>
      <c r="K3" s="19"/>
    </row>
    <row r="4" spans="4:11" x14ac:dyDescent="0.3">
      <c r="D4" s="17"/>
      <c r="E4" s="14" t="s">
        <v>0</v>
      </c>
      <c r="F4" s="14" t="s">
        <v>1</v>
      </c>
      <c r="G4" s="14" t="s">
        <v>2</v>
      </c>
      <c r="H4" s="14" t="s">
        <v>3</v>
      </c>
      <c r="I4" s="14" t="s">
        <v>4</v>
      </c>
      <c r="J4" s="14" t="s">
        <v>5</v>
      </c>
      <c r="K4" s="14" t="s">
        <v>6</v>
      </c>
    </row>
    <row r="5" spans="4:11" x14ac:dyDescent="0.3">
      <c r="D5" s="15" t="s">
        <v>0</v>
      </c>
      <c r="E5">
        <v>1</v>
      </c>
    </row>
    <row r="6" spans="4:11" x14ac:dyDescent="0.3">
      <c r="D6" s="15" t="s">
        <v>1</v>
      </c>
      <c r="E6">
        <v>-9.9301879660361764E-3</v>
      </c>
      <c r="F6">
        <v>1</v>
      </c>
    </row>
    <row r="7" spans="4:11" x14ac:dyDescent="0.3">
      <c r="D7" s="15" t="s">
        <v>2</v>
      </c>
      <c r="E7">
        <v>0.15036616706311412</v>
      </c>
      <c r="F7">
        <v>-4.8066181577228551E-3</v>
      </c>
      <c r="G7">
        <v>1</v>
      </c>
    </row>
    <row r="8" spans="4:11" x14ac:dyDescent="0.3">
      <c r="D8" s="15" t="s">
        <v>3</v>
      </c>
      <c r="E8">
        <v>-0.19812862318292862</v>
      </c>
      <c r="F8">
        <v>6.3911230776324351E-2</v>
      </c>
      <c r="G8">
        <v>-0.67893303694281837</v>
      </c>
      <c r="H8">
        <v>1</v>
      </c>
    </row>
    <row r="9" spans="4:11" x14ac:dyDescent="0.3">
      <c r="D9" s="15" t="s">
        <v>4</v>
      </c>
      <c r="E9">
        <v>-8.3248016742296579E-2</v>
      </c>
      <c r="F9">
        <v>-0.13056441135746866</v>
      </c>
      <c r="G9">
        <v>-8.9704691425227759E-2</v>
      </c>
      <c r="H9">
        <v>0.10004530325852386</v>
      </c>
      <c r="I9">
        <v>1</v>
      </c>
    </row>
    <row r="10" spans="4:11" x14ac:dyDescent="0.3">
      <c r="D10" s="15" t="s">
        <v>5</v>
      </c>
      <c r="E10">
        <v>-0.14134974370169553</v>
      </c>
      <c r="F10">
        <v>9.0136101893482645E-2</v>
      </c>
      <c r="G10">
        <v>-0.13567092631373984</v>
      </c>
      <c r="H10">
        <v>0.17923185392494193</v>
      </c>
      <c r="I10">
        <v>0.59758893106572075</v>
      </c>
      <c r="J10">
        <v>1</v>
      </c>
    </row>
    <row r="11" spans="4:11" ht="15" thickBot="1" x14ac:dyDescent="0.35">
      <c r="D11" s="16" t="s">
        <v>6</v>
      </c>
      <c r="E11" s="5">
        <v>-8.5273975201494628E-2</v>
      </c>
      <c r="F11" s="5">
        <v>9.7627499908010222E-3</v>
      </c>
      <c r="G11" s="5">
        <v>-7.0422293560946217E-2</v>
      </c>
      <c r="H11" s="5">
        <v>0.117596390271059</v>
      </c>
      <c r="I11" s="5">
        <v>0.48840039467488378</v>
      </c>
      <c r="J11" s="5">
        <v>0.6749978565456074</v>
      </c>
      <c r="K11" s="5">
        <v>1</v>
      </c>
    </row>
  </sheetData>
  <mergeCells count="1">
    <mergeCell ref="D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F387-46B4-4AF9-A023-33D7207BA62E}">
  <dimension ref="A1:S23"/>
  <sheetViews>
    <sheetView showGridLines="0" tabSelected="1" workbookViewId="0">
      <selection activeCell="L3" sqref="L3"/>
    </sheetView>
  </sheetViews>
  <sheetFormatPr defaultRowHeight="14.4" x14ac:dyDescent="0.3"/>
  <cols>
    <col min="1" max="1" width="23.88671875" customWidth="1"/>
    <col min="2" max="2" width="16.109375" customWidth="1"/>
    <col min="3" max="3" width="17.33203125" customWidth="1"/>
    <col min="4" max="4" width="19.6640625" customWidth="1"/>
    <col min="5" max="5" width="19.5546875" customWidth="1"/>
    <col min="6" max="6" width="18" customWidth="1"/>
    <col min="7" max="7" width="18.88671875" customWidth="1"/>
    <col min="8" max="8" width="18.109375" customWidth="1"/>
    <col min="9" max="9" width="15.88671875" customWidth="1"/>
    <col min="19" max="19" width="14.109375" customWidth="1"/>
  </cols>
  <sheetData>
    <row r="1" spans="1:19" x14ac:dyDescent="0.3">
      <c r="A1" s="18" t="s">
        <v>30</v>
      </c>
      <c r="B1" s="18"/>
      <c r="C1" s="18"/>
      <c r="D1" s="18"/>
      <c r="E1" s="18"/>
      <c r="F1" s="18"/>
      <c r="G1" s="18"/>
      <c r="H1" s="18"/>
      <c r="I1" s="18"/>
      <c r="M1" s="8"/>
      <c r="N1" s="8"/>
      <c r="O1" s="8"/>
      <c r="P1" s="8"/>
      <c r="Q1" s="8"/>
      <c r="R1" s="8"/>
      <c r="S1" s="8"/>
    </row>
    <row r="2" spans="1:19" ht="15" thickBot="1" x14ac:dyDescent="0.35"/>
    <row r="3" spans="1:19" x14ac:dyDescent="0.3">
      <c r="A3" s="7" t="s">
        <v>31</v>
      </c>
      <c r="B3" s="7"/>
    </row>
    <row r="4" spans="1:19" x14ac:dyDescent="0.3">
      <c r="A4" t="s">
        <v>32</v>
      </c>
      <c r="B4">
        <v>0.684537942884752</v>
      </c>
    </row>
    <row r="5" spans="1:19" x14ac:dyDescent="0.3">
      <c r="A5" t="s">
        <v>33</v>
      </c>
      <c r="B5" s="11">
        <v>0.46859219524888807</v>
      </c>
    </row>
    <row r="6" spans="1:19" x14ac:dyDescent="0.3">
      <c r="A6" t="s">
        <v>34</v>
      </c>
      <c r="B6">
        <v>0.45508182733148689</v>
      </c>
    </row>
    <row r="7" spans="1:19" x14ac:dyDescent="0.3">
      <c r="A7" t="s">
        <v>35</v>
      </c>
      <c r="B7">
        <v>1.0223887405542214</v>
      </c>
    </row>
    <row r="8" spans="1:19" ht="15" thickBot="1" x14ac:dyDescent="0.35">
      <c r="A8" s="5" t="s">
        <v>36</v>
      </c>
      <c r="B8" s="5">
        <v>243</v>
      </c>
    </row>
    <row r="10" spans="1:19" ht="15" thickBot="1" x14ac:dyDescent="0.35">
      <c r="A10" t="s">
        <v>37</v>
      </c>
    </row>
    <row r="11" spans="1:19" x14ac:dyDescent="0.3">
      <c r="A11" s="6"/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46</v>
      </c>
    </row>
    <row r="12" spans="1:19" x14ac:dyDescent="0.3">
      <c r="A12" t="s">
        <v>38</v>
      </c>
      <c r="B12">
        <v>6</v>
      </c>
      <c r="C12">
        <v>217.52603375021695</v>
      </c>
      <c r="D12">
        <v>36.254338958369495</v>
      </c>
      <c r="E12">
        <v>34.68389596151178</v>
      </c>
      <c r="F12" s="11">
        <v>6.3688389362934512E-30</v>
      </c>
    </row>
    <row r="13" spans="1:19" x14ac:dyDescent="0.3">
      <c r="A13" t="s">
        <v>39</v>
      </c>
      <c r="B13">
        <v>236</v>
      </c>
      <c r="C13">
        <v>246.68578188764312</v>
      </c>
      <c r="D13">
        <v>1.0452787368120471</v>
      </c>
    </row>
    <row r="14" spans="1:19" ht="15" thickBot="1" x14ac:dyDescent="0.35">
      <c r="A14" s="5" t="s">
        <v>40</v>
      </c>
      <c r="B14" s="5">
        <v>242</v>
      </c>
      <c r="C14" s="5">
        <v>464.21181563786007</v>
      </c>
      <c r="D14" s="5"/>
      <c r="E14" s="5"/>
      <c r="F14" s="5"/>
    </row>
    <row r="15" spans="1:19" ht="15" thickBot="1" x14ac:dyDescent="0.35"/>
    <row r="16" spans="1:19" x14ac:dyDescent="0.3">
      <c r="A16" s="6"/>
      <c r="B16" s="6" t="s">
        <v>47</v>
      </c>
      <c r="C16" s="6" t="s">
        <v>35</v>
      </c>
      <c r="D16" s="6" t="s">
        <v>48</v>
      </c>
      <c r="E16" s="6" t="s">
        <v>49</v>
      </c>
      <c r="F16" s="6" t="s">
        <v>50</v>
      </c>
      <c r="G16" s="6" t="s">
        <v>51</v>
      </c>
      <c r="H16" s="6" t="s">
        <v>52</v>
      </c>
      <c r="I16" s="6" t="s">
        <v>53</v>
      </c>
    </row>
    <row r="17" spans="1:9" x14ac:dyDescent="0.3">
      <c r="A17" t="s">
        <v>41</v>
      </c>
      <c r="B17" s="10">
        <v>0.48621741327653467</v>
      </c>
      <c r="C17">
        <v>0.60465121751273476</v>
      </c>
      <c r="D17">
        <v>0.80412872610530095</v>
      </c>
      <c r="E17" s="10">
        <v>0.42213189187766331</v>
      </c>
      <c r="F17">
        <v>-0.70498590803314642</v>
      </c>
      <c r="G17">
        <v>1.6774207345862158</v>
      </c>
      <c r="H17">
        <v>-0.70498590803314642</v>
      </c>
      <c r="I17">
        <v>1.6774207345862158</v>
      </c>
    </row>
    <row r="18" spans="1:9" x14ac:dyDescent="0.3">
      <c r="A18" t="s">
        <v>0</v>
      </c>
      <c r="B18" s="10">
        <v>2.8332748594186719E-2</v>
      </c>
      <c r="C18">
        <v>0.14081901119395779</v>
      </c>
      <c r="D18">
        <v>0.2011997411000313</v>
      </c>
      <c r="E18" s="10">
        <v>0.84071569501784826</v>
      </c>
      <c r="F18">
        <v>-0.24909011764564642</v>
      </c>
      <c r="G18">
        <v>0.30575561483401986</v>
      </c>
      <c r="H18">
        <v>-0.24909011764564642</v>
      </c>
      <c r="I18">
        <v>0.30575561483401986</v>
      </c>
    </row>
    <row r="19" spans="1:9" x14ac:dyDescent="0.3">
      <c r="A19" t="s">
        <v>1</v>
      </c>
      <c r="B19" s="10">
        <v>-8.5531538472601809E-2</v>
      </c>
      <c r="C19">
        <v>0.13989206144476529</v>
      </c>
      <c r="D19">
        <v>-0.61141095205300777</v>
      </c>
      <c r="E19" s="10">
        <v>0.54151604362234784</v>
      </c>
      <c r="F19">
        <v>-0.36112825173705948</v>
      </c>
      <c r="G19">
        <v>0.19006517479185586</v>
      </c>
      <c r="H19">
        <v>-0.36112825173705948</v>
      </c>
      <c r="I19">
        <v>0.19006517479185586</v>
      </c>
    </row>
    <row r="20" spans="1:9" x14ac:dyDescent="0.3">
      <c r="A20" t="s">
        <v>2</v>
      </c>
      <c r="B20" s="10">
        <v>5.7746648652120404E-2</v>
      </c>
      <c r="C20">
        <v>9.3343459194288339E-2</v>
      </c>
      <c r="D20">
        <v>0.6186469748450667</v>
      </c>
      <c r="E20" s="10">
        <v>0.53674559652694542</v>
      </c>
      <c r="F20">
        <v>-0.12614620626043774</v>
      </c>
      <c r="G20">
        <v>0.24163950356467853</v>
      </c>
      <c r="H20">
        <v>-0.12614620626043774</v>
      </c>
      <c r="I20">
        <v>0.24163950356467853</v>
      </c>
    </row>
    <row r="21" spans="1:9" x14ac:dyDescent="0.3">
      <c r="A21" t="s">
        <v>3</v>
      </c>
      <c r="B21" s="10">
        <v>8.5787531026815717E-2</v>
      </c>
      <c r="C21">
        <v>0.20334677649514052</v>
      </c>
      <c r="D21">
        <v>0.42187799829158257</v>
      </c>
      <c r="E21" s="10">
        <v>0.67349811097712298</v>
      </c>
      <c r="F21">
        <v>-0.31481921303142668</v>
      </c>
      <c r="G21">
        <v>0.48639427508505806</v>
      </c>
      <c r="H21">
        <v>-0.31481921303142668</v>
      </c>
      <c r="I21">
        <v>0.48639427508505806</v>
      </c>
    </row>
    <row r="22" spans="1:9" x14ac:dyDescent="0.3">
      <c r="A22" t="s">
        <v>4</v>
      </c>
      <c r="B22" s="10">
        <v>0.1810217876936617</v>
      </c>
      <c r="C22">
        <v>8.8465093443750947E-2</v>
      </c>
      <c r="D22">
        <v>2.0462510199998984</v>
      </c>
      <c r="E22" s="11">
        <v>4.1840087389360257E-2</v>
      </c>
      <c r="F22">
        <v>6.7396394435459694E-3</v>
      </c>
      <c r="G22">
        <v>0.3553039359437774</v>
      </c>
      <c r="H22">
        <v>6.7396394435459694E-3</v>
      </c>
      <c r="I22">
        <v>0.3553039359437774</v>
      </c>
    </row>
    <row r="23" spans="1:9" ht="15" thickBot="1" x14ac:dyDescent="0.35">
      <c r="A23" s="5" t="s">
        <v>5</v>
      </c>
      <c r="B23" s="12">
        <v>9.4068737621341381E-2</v>
      </c>
      <c r="C23" s="5">
        <v>9.5401786822780967E-3</v>
      </c>
      <c r="D23" s="5">
        <v>9.8602699964188432</v>
      </c>
      <c r="E23" s="13">
        <v>1.9896429505013204E-19</v>
      </c>
      <c r="F23" s="5">
        <v>7.5273947826713802E-2</v>
      </c>
      <c r="G23" s="5">
        <v>0.11286352741596896</v>
      </c>
      <c r="H23" s="5">
        <v>7.5273947826713802E-2</v>
      </c>
      <c r="I23" s="5">
        <v>0.11286352741596896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DF56-D739-4274-BF58-31E9836A5FC0}">
  <dimension ref="B1:Y245"/>
  <sheetViews>
    <sheetView showGridLines="0" topLeftCell="F1" workbookViewId="0">
      <selection activeCell="T17" sqref="T17"/>
    </sheetView>
  </sheetViews>
  <sheetFormatPr defaultRowHeight="14.4" x14ac:dyDescent="0.3"/>
  <cols>
    <col min="16" max="16" width="10.109375" customWidth="1"/>
    <col min="17" max="17" width="13.21875" customWidth="1"/>
    <col min="20" max="20" width="21.6640625" customWidth="1"/>
  </cols>
  <sheetData>
    <row r="1" spans="2:25" ht="15" thickBot="1" x14ac:dyDescent="0.35"/>
    <row r="2" spans="2:25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54</v>
      </c>
      <c r="S2" s="6"/>
      <c r="T2" s="14" t="s">
        <v>47</v>
      </c>
    </row>
    <row r="3" spans="2:25" x14ac:dyDescent="0.3">
      <c r="B3" t="s">
        <v>7</v>
      </c>
      <c r="C3" t="s">
        <v>8</v>
      </c>
      <c r="D3" t="s">
        <v>9</v>
      </c>
      <c r="E3" t="s">
        <v>10</v>
      </c>
      <c r="F3">
        <v>2</v>
      </c>
      <c r="G3">
        <v>16.989999999999998</v>
      </c>
      <c r="H3">
        <v>1.01</v>
      </c>
      <c r="J3">
        <f>IF(B3 = "Female",2,1)</f>
        <v>2</v>
      </c>
      <c r="K3">
        <f>IF(C3="No",1,2)</f>
        <v>1</v>
      </c>
      <c r="L3" cm="1">
        <f t="array" ref="L3">_xlfn.IFS(D3="Sat",1,D3="Sun",2,D3="Thur",3,D3="Fri",4)</f>
        <v>2</v>
      </c>
      <c r="M3">
        <f>IF(E3="Lunch",1,2)</f>
        <v>2</v>
      </c>
      <c r="N3">
        <v>2</v>
      </c>
      <c r="O3">
        <v>16.989999999999998</v>
      </c>
      <c r="P3">
        <v>1.01</v>
      </c>
      <c r="Q3" s="9">
        <f>J3*$T$4+K3*$T$5+L3*$T$6+M3*$T$7+N3*$T$8+O3*$T$9</f>
        <v>2.2184737456475569</v>
      </c>
      <c r="S3" s="15" t="s">
        <v>41</v>
      </c>
      <c r="T3">
        <v>0.48621741327653467</v>
      </c>
    </row>
    <row r="4" spans="2:25" x14ac:dyDescent="0.3">
      <c r="B4" t="s">
        <v>11</v>
      </c>
      <c r="C4" t="s">
        <v>8</v>
      </c>
      <c r="D4" t="s">
        <v>9</v>
      </c>
      <c r="E4" t="s">
        <v>10</v>
      </c>
      <c r="F4">
        <v>3</v>
      </c>
      <c r="G4">
        <v>10.34</v>
      </c>
      <c r="H4">
        <v>1.66</v>
      </c>
      <c r="J4">
        <f t="shared" ref="J4:J67" si="0">IF(B4 = "Female",2,1)</f>
        <v>1</v>
      </c>
      <c r="K4">
        <f t="shared" ref="K4:K67" si="1">IF(C4="No",1,2)</f>
        <v>1</v>
      </c>
      <c r="L4" cm="1">
        <f t="array" ref="L4">_xlfn.IFS(D4="Sat",1,D4="Sun",2,D4="Thur",3,D4="Fri",4)</f>
        <v>2</v>
      </c>
      <c r="M4">
        <f t="shared" ref="M4:M67" si="2">IF(E4="Lunch",1,2)</f>
        <v>2</v>
      </c>
      <c r="N4">
        <v>3</v>
      </c>
      <c r="O4">
        <v>10.34</v>
      </c>
      <c r="P4">
        <v>1.66</v>
      </c>
      <c r="Q4" s="9">
        <f t="shared" ref="Q4:Q67" si="3">J4*$T$4+K4*$T$5+L4*$T$6+M4*$T$7+N4*$T$8+O4*$T$9</f>
        <v>1.745605679565112</v>
      </c>
      <c r="S4" s="15" t="s">
        <v>0</v>
      </c>
      <c r="T4">
        <v>2.8332748594186719E-2</v>
      </c>
    </row>
    <row r="5" spans="2:25" x14ac:dyDescent="0.3">
      <c r="B5" t="s">
        <v>11</v>
      </c>
      <c r="C5" t="s">
        <v>8</v>
      </c>
      <c r="D5" t="s">
        <v>9</v>
      </c>
      <c r="E5" t="s">
        <v>10</v>
      </c>
      <c r="F5">
        <v>3</v>
      </c>
      <c r="G5">
        <v>21.01</v>
      </c>
      <c r="H5">
        <v>3.5</v>
      </c>
      <c r="J5">
        <f t="shared" si="0"/>
        <v>1</v>
      </c>
      <c r="K5">
        <f t="shared" si="1"/>
        <v>1</v>
      </c>
      <c r="L5" cm="1">
        <f t="array" ref="L5">_xlfn.IFS(D5="Sat",1,D5="Sun",2,D5="Thur",3,D5="Fri",4)</f>
        <v>2</v>
      </c>
      <c r="M5">
        <f t="shared" si="2"/>
        <v>2</v>
      </c>
      <c r="N5">
        <v>3</v>
      </c>
      <c r="O5">
        <v>21.01</v>
      </c>
      <c r="P5">
        <v>3.5</v>
      </c>
      <c r="Q5" s="9">
        <f t="shared" si="3"/>
        <v>2.7493191099848246</v>
      </c>
      <c r="S5" s="15" t="s">
        <v>1</v>
      </c>
      <c r="T5">
        <v>-8.5531538472601809E-2</v>
      </c>
    </row>
    <row r="6" spans="2:25" x14ac:dyDescent="0.3">
      <c r="B6" t="s">
        <v>11</v>
      </c>
      <c r="C6" t="s">
        <v>8</v>
      </c>
      <c r="D6" t="s">
        <v>9</v>
      </c>
      <c r="E6" t="s">
        <v>10</v>
      </c>
      <c r="F6">
        <v>2</v>
      </c>
      <c r="G6">
        <v>23.68</v>
      </c>
      <c r="H6">
        <v>3.31</v>
      </c>
      <c r="J6">
        <f t="shared" si="0"/>
        <v>1</v>
      </c>
      <c r="K6">
        <f t="shared" si="1"/>
        <v>1</v>
      </c>
      <c r="L6" cm="1">
        <f t="array" ref="L6">_xlfn.IFS(D6="Sat",1,D6="Sun",2,D6="Thur",3,D6="Fri",4)</f>
        <v>2</v>
      </c>
      <c r="M6">
        <f t="shared" si="2"/>
        <v>2</v>
      </c>
      <c r="N6">
        <v>2</v>
      </c>
      <c r="O6">
        <v>23.68</v>
      </c>
      <c r="P6">
        <v>3.31</v>
      </c>
      <c r="Q6" s="9">
        <f t="shared" si="3"/>
        <v>2.8194608517401445</v>
      </c>
      <c r="S6" s="15" t="s">
        <v>2</v>
      </c>
      <c r="T6">
        <v>5.7746648652120404E-2</v>
      </c>
    </row>
    <row r="7" spans="2:25" x14ac:dyDescent="0.3">
      <c r="B7" t="s">
        <v>7</v>
      </c>
      <c r="C7" t="s">
        <v>8</v>
      </c>
      <c r="D7" t="s">
        <v>9</v>
      </c>
      <c r="E7" t="s">
        <v>10</v>
      </c>
      <c r="F7">
        <v>4</v>
      </c>
      <c r="G7">
        <v>24.59</v>
      </c>
      <c r="H7">
        <v>3.61</v>
      </c>
      <c r="J7">
        <f t="shared" si="0"/>
        <v>2</v>
      </c>
      <c r="K7">
        <f t="shared" si="1"/>
        <v>1</v>
      </c>
      <c r="L7" cm="1">
        <f t="array" ref="L7">_xlfn.IFS(D7="Sat",1,D7="Sun",2,D7="Thur",3,D7="Fri",4)</f>
        <v>2</v>
      </c>
      <c r="M7">
        <f t="shared" si="2"/>
        <v>2</v>
      </c>
      <c r="N7">
        <v>4</v>
      </c>
      <c r="O7">
        <v>24.59</v>
      </c>
      <c r="P7">
        <v>3.61</v>
      </c>
      <c r="Q7" s="9">
        <f t="shared" si="3"/>
        <v>3.295439726957075</v>
      </c>
      <c r="S7" s="15" t="s">
        <v>3</v>
      </c>
      <c r="T7">
        <v>8.5787531026815717E-2</v>
      </c>
    </row>
    <row r="8" spans="2:25" x14ac:dyDescent="0.3">
      <c r="B8" t="s">
        <v>11</v>
      </c>
      <c r="C8" t="s">
        <v>8</v>
      </c>
      <c r="D8" t="s">
        <v>9</v>
      </c>
      <c r="E8" t="s">
        <v>10</v>
      </c>
      <c r="F8">
        <v>4</v>
      </c>
      <c r="G8">
        <v>25.29</v>
      </c>
      <c r="H8">
        <v>4.71</v>
      </c>
      <c r="J8">
        <f t="shared" si="0"/>
        <v>1</v>
      </c>
      <c r="K8">
        <f t="shared" si="1"/>
        <v>1</v>
      </c>
      <c r="L8" cm="1">
        <f t="array" ref="L8">_xlfn.IFS(D8="Sat",1,D8="Sun",2,D8="Thur",3,D8="Fri",4)</f>
        <v>2</v>
      </c>
      <c r="M8">
        <f t="shared" si="2"/>
        <v>2</v>
      </c>
      <c r="N8">
        <v>4</v>
      </c>
      <c r="O8">
        <v>25.29</v>
      </c>
      <c r="P8">
        <v>4.71</v>
      </c>
      <c r="Q8" s="9">
        <f t="shared" si="3"/>
        <v>3.3329550946978275</v>
      </c>
      <c r="S8" s="15" t="s">
        <v>4</v>
      </c>
      <c r="T8">
        <v>0.1810217876936617</v>
      </c>
    </row>
    <row r="9" spans="2:25" ht="15" thickBot="1" x14ac:dyDescent="0.35">
      <c r="B9" t="s">
        <v>11</v>
      </c>
      <c r="C9" t="s">
        <v>8</v>
      </c>
      <c r="D9" t="s">
        <v>9</v>
      </c>
      <c r="E9" t="s">
        <v>10</v>
      </c>
      <c r="F9">
        <v>2</v>
      </c>
      <c r="G9">
        <v>8.77</v>
      </c>
      <c r="H9">
        <v>2</v>
      </c>
      <c r="J9">
        <f t="shared" si="0"/>
        <v>1</v>
      </c>
      <c r="K9">
        <f t="shared" si="1"/>
        <v>1</v>
      </c>
      <c r="L9" cm="1">
        <f t="array" ref="L9">_xlfn.IFS(D9="Sat",1,D9="Sun",2,D9="Thur",3,D9="Fri",4)</f>
        <v>2</v>
      </c>
      <c r="M9">
        <f t="shared" si="2"/>
        <v>2</v>
      </c>
      <c r="N9">
        <v>2</v>
      </c>
      <c r="O9">
        <v>8.77</v>
      </c>
      <c r="P9">
        <v>2</v>
      </c>
      <c r="Q9" s="9">
        <f t="shared" si="3"/>
        <v>1.4168959738059443</v>
      </c>
      <c r="S9" s="16" t="s">
        <v>5</v>
      </c>
      <c r="T9" s="5">
        <v>9.4068737621341381E-2</v>
      </c>
    </row>
    <row r="10" spans="2:25" x14ac:dyDescent="0.3">
      <c r="B10" t="s">
        <v>11</v>
      </c>
      <c r="C10" t="s">
        <v>8</v>
      </c>
      <c r="D10" t="s">
        <v>9</v>
      </c>
      <c r="E10" t="s">
        <v>10</v>
      </c>
      <c r="F10">
        <v>4</v>
      </c>
      <c r="G10">
        <v>26.88</v>
      </c>
      <c r="H10">
        <v>3.12</v>
      </c>
      <c r="J10">
        <f t="shared" si="0"/>
        <v>1</v>
      </c>
      <c r="K10">
        <f t="shared" si="1"/>
        <v>1</v>
      </c>
      <c r="L10" cm="1">
        <f t="array" ref="L10">_xlfn.IFS(D10="Sat",1,D10="Sun",2,D10="Thur",3,D10="Fri",4)</f>
        <v>2</v>
      </c>
      <c r="M10">
        <f t="shared" si="2"/>
        <v>2</v>
      </c>
      <c r="N10">
        <v>4</v>
      </c>
      <c r="O10">
        <v>26.88</v>
      </c>
      <c r="P10">
        <v>3.12</v>
      </c>
      <c r="Q10" s="9">
        <f t="shared" si="3"/>
        <v>3.4825243875157605</v>
      </c>
    </row>
    <row r="11" spans="2:25" x14ac:dyDescent="0.3">
      <c r="B11" t="s">
        <v>11</v>
      </c>
      <c r="C11" t="s">
        <v>8</v>
      </c>
      <c r="D11" t="s">
        <v>9</v>
      </c>
      <c r="E11" t="s">
        <v>10</v>
      </c>
      <c r="F11">
        <v>2</v>
      </c>
      <c r="G11">
        <v>15.04</v>
      </c>
      <c r="H11">
        <v>1.96</v>
      </c>
      <c r="J11">
        <f t="shared" si="0"/>
        <v>1</v>
      </c>
      <c r="K11">
        <f t="shared" si="1"/>
        <v>1</v>
      </c>
      <c r="L11" cm="1">
        <f t="array" ref="L11">_xlfn.IFS(D11="Sat",1,D11="Sun",2,D11="Thur",3,D11="Fri",4)</f>
        <v>2</v>
      </c>
      <c r="M11">
        <f t="shared" si="2"/>
        <v>2</v>
      </c>
      <c r="N11">
        <v>2</v>
      </c>
      <c r="O11">
        <v>15.04</v>
      </c>
      <c r="P11">
        <v>1.96</v>
      </c>
      <c r="Q11" s="9">
        <f t="shared" si="3"/>
        <v>2.0067069586917547</v>
      </c>
    </row>
    <row r="12" spans="2:25" ht="15" thickBot="1" x14ac:dyDescent="0.35">
      <c r="B12" t="s">
        <v>11</v>
      </c>
      <c r="C12" t="s">
        <v>8</v>
      </c>
      <c r="D12" t="s">
        <v>9</v>
      </c>
      <c r="E12" t="s">
        <v>10</v>
      </c>
      <c r="F12">
        <v>2</v>
      </c>
      <c r="G12">
        <v>14.78</v>
      </c>
      <c r="H12">
        <v>3.23</v>
      </c>
      <c r="J12">
        <f t="shared" si="0"/>
        <v>1</v>
      </c>
      <c r="K12">
        <f t="shared" si="1"/>
        <v>1</v>
      </c>
      <c r="L12" cm="1">
        <f t="array" ref="L12">_xlfn.IFS(D12="Sat",1,D12="Sun",2,D12="Thur",3,D12="Fri",4)</f>
        <v>2</v>
      </c>
      <c r="M12">
        <f t="shared" si="2"/>
        <v>2</v>
      </c>
      <c r="N12">
        <v>2</v>
      </c>
      <c r="O12">
        <v>14.78</v>
      </c>
      <c r="P12">
        <v>3.23</v>
      </c>
      <c r="Q12" s="9">
        <f t="shared" si="3"/>
        <v>1.9822490869102061</v>
      </c>
      <c r="S12" s="20" t="s">
        <v>55</v>
      </c>
      <c r="T12" s="20"/>
      <c r="U12" s="20"/>
      <c r="V12" s="20"/>
      <c r="W12" s="20"/>
      <c r="X12" s="20"/>
      <c r="Y12" s="20"/>
    </row>
    <row r="13" spans="2:25" x14ac:dyDescent="0.3">
      <c r="B13" t="s">
        <v>11</v>
      </c>
      <c r="C13" t="s">
        <v>8</v>
      </c>
      <c r="D13" t="s">
        <v>9</v>
      </c>
      <c r="E13" t="s">
        <v>10</v>
      </c>
      <c r="F13">
        <v>2</v>
      </c>
      <c r="G13">
        <v>10.27</v>
      </c>
      <c r="H13">
        <v>1.71</v>
      </c>
      <c r="J13">
        <f t="shared" si="0"/>
        <v>1</v>
      </c>
      <c r="K13">
        <f t="shared" si="1"/>
        <v>1</v>
      </c>
      <c r="L13" cm="1">
        <f t="array" ref="L13">_xlfn.IFS(D13="Sat",1,D13="Sun",2,D13="Thur",3,D13="Fri",4)</f>
        <v>2</v>
      </c>
      <c r="M13">
        <f t="shared" si="2"/>
        <v>2</v>
      </c>
      <c r="N13">
        <v>2</v>
      </c>
      <c r="O13">
        <v>10.27</v>
      </c>
      <c r="P13">
        <v>1.71</v>
      </c>
      <c r="Q13" s="9">
        <f t="shared" si="3"/>
        <v>1.5579990802379564</v>
      </c>
      <c r="S13" s="15"/>
      <c r="T13" s="17" t="s">
        <v>0</v>
      </c>
      <c r="U13" s="17" t="s">
        <v>1</v>
      </c>
      <c r="V13" s="17" t="s">
        <v>2</v>
      </c>
      <c r="W13" s="17" t="s">
        <v>3</v>
      </c>
      <c r="X13" s="17" t="s">
        <v>4</v>
      </c>
      <c r="Y13" s="17" t="s">
        <v>5</v>
      </c>
    </row>
    <row r="14" spans="2:25" ht="15" thickBot="1" x14ac:dyDescent="0.35">
      <c r="B14" t="s">
        <v>7</v>
      </c>
      <c r="C14" t="s">
        <v>8</v>
      </c>
      <c r="D14" t="s">
        <v>9</v>
      </c>
      <c r="E14" t="s">
        <v>10</v>
      </c>
      <c r="F14">
        <v>4</v>
      </c>
      <c r="G14">
        <v>35.26</v>
      </c>
      <c r="H14">
        <v>5</v>
      </c>
      <c r="J14">
        <f t="shared" si="0"/>
        <v>2</v>
      </c>
      <c r="K14">
        <f t="shared" si="1"/>
        <v>1</v>
      </c>
      <c r="L14" cm="1">
        <f t="array" ref="L14">_xlfn.IFS(D14="Sat",1,D14="Sun",2,D14="Thur",3,D14="Fri",4)</f>
        <v>2</v>
      </c>
      <c r="M14">
        <f t="shared" si="2"/>
        <v>2</v>
      </c>
      <c r="N14">
        <v>4</v>
      </c>
      <c r="O14">
        <v>35.26</v>
      </c>
      <c r="P14">
        <v>5</v>
      </c>
      <c r="Q14" s="9">
        <f t="shared" si="3"/>
        <v>4.2991531573767876</v>
      </c>
      <c r="S14" s="16" t="s">
        <v>6</v>
      </c>
      <c r="T14" s="5">
        <v>-8.5273975201494628E-2</v>
      </c>
      <c r="U14" s="5">
        <v>9.7627499908010222E-3</v>
      </c>
      <c r="V14" s="5">
        <v>-7.0422293560946217E-2</v>
      </c>
      <c r="W14" s="5">
        <v>0.117596390271059</v>
      </c>
      <c r="X14" s="5">
        <v>0.48840039467488378</v>
      </c>
      <c r="Y14" s="5">
        <v>0.6749978565456074</v>
      </c>
    </row>
    <row r="15" spans="2:25" x14ac:dyDescent="0.3">
      <c r="B15" t="s">
        <v>11</v>
      </c>
      <c r="C15" t="s">
        <v>8</v>
      </c>
      <c r="D15" t="s">
        <v>9</v>
      </c>
      <c r="E15" t="s">
        <v>10</v>
      </c>
      <c r="F15">
        <v>2</v>
      </c>
      <c r="G15">
        <v>15.42</v>
      </c>
      <c r="H15">
        <v>1.57</v>
      </c>
      <c r="J15">
        <f t="shared" si="0"/>
        <v>1</v>
      </c>
      <c r="K15">
        <f t="shared" si="1"/>
        <v>1</v>
      </c>
      <c r="L15" cm="1">
        <f t="array" ref="L15">_xlfn.IFS(D15="Sat",1,D15="Sun",2,D15="Thur",3,D15="Fri",4)</f>
        <v>2</v>
      </c>
      <c r="M15">
        <f t="shared" si="2"/>
        <v>2</v>
      </c>
      <c r="N15">
        <v>2</v>
      </c>
      <c r="O15">
        <v>15.42</v>
      </c>
      <c r="P15">
        <v>1.57</v>
      </c>
      <c r="Q15" s="9">
        <f t="shared" si="3"/>
        <v>2.0424530789878643</v>
      </c>
    </row>
    <row r="16" spans="2:25" x14ac:dyDescent="0.3">
      <c r="B16" t="s">
        <v>11</v>
      </c>
      <c r="C16" t="s">
        <v>8</v>
      </c>
      <c r="D16" t="s">
        <v>9</v>
      </c>
      <c r="E16" t="s">
        <v>10</v>
      </c>
      <c r="F16">
        <v>4</v>
      </c>
      <c r="G16">
        <v>18.43</v>
      </c>
      <c r="H16">
        <v>3</v>
      </c>
      <c r="J16">
        <f t="shared" si="0"/>
        <v>1</v>
      </c>
      <c r="K16">
        <f t="shared" si="1"/>
        <v>1</v>
      </c>
      <c r="L16" cm="1">
        <f t="array" ref="L16">_xlfn.IFS(D16="Sat",1,D16="Sun",2,D16="Thur",3,D16="Fri",4)</f>
        <v>2</v>
      </c>
      <c r="M16">
        <f t="shared" si="2"/>
        <v>2</v>
      </c>
      <c r="N16">
        <v>4</v>
      </c>
      <c r="O16">
        <v>18.43</v>
      </c>
      <c r="P16">
        <v>3</v>
      </c>
      <c r="Q16" s="9">
        <f t="shared" si="3"/>
        <v>2.6876435546154256</v>
      </c>
    </row>
    <row r="17" spans="2:17" x14ac:dyDescent="0.3">
      <c r="B17" t="s">
        <v>7</v>
      </c>
      <c r="C17" t="s">
        <v>8</v>
      </c>
      <c r="D17" t="s">
        <v>9</v>
      </c>
      <c r="E17" t="s">
        <v>10</v>
      </c>
      <c r="F17">
        <v>2</v>
      </c>
      <c r="G17">
        <v>14.83</v>
      </c>
      <c r="H17">
        <v>3.02</v>
      </c>
      <c r="J17">
        <f t="shared" si="0"/>
        <v>2</v>
      </c>
      <c r="K17">
        <f t="shared" si="1"/>
        <v>1</v>
      </c>
      <c r="L17" cm="1">
        <f t="array" ref="L17">_xlfn.IFS(D17="Sat",1,D17="Sun",2,D17="Thur",3,D17="Fri",4)</f>
        <v>2</v>
      </c>
      <c r="M17">
        <f t="shared" si="2"/>
        <v>2</v>
      </c>
      <c r="N17">
        <v>2</v>
      </c>
      <c r="O17">
        <v>14.83</v>
      </c>
      <c r="P17">
        <v>3.02</v>
      </c>
      <c r="Q17" s="9">
        <f t="shared" si="3"/>
        <v>2.01528527238546</v>
      </c>
    </row>
    <row r="18" spans="2:17" x14ac:dyDescent="0.3">
      <c r="B18" t="s">
        <v>11</v>
      </c>
      <c r="C18" t="s">
        <v>8</v>
      </c>
      <c r="D18" t="s">
        <v>9</v>
      </c>
      <c r="E18" t="s">
        <v>10</v>
      </c>
      <c r="F18">
        <v>2</v>
      </c>
      <c r="G18">
        <v>21.58</v>
      </c>
      <c r="H18">
        <v>3.92</v>
      </c>
      <c r="J18">
        <f t="shared" si="0"/>
        <v>1</v>
      </c>
      <c r="K18">
        <f t="shared" si="1"/>
        <v>1</v>
      </c>
      <c r="L18" cm="1">
        <f t="array" ref="L18">_xlfn.IFS(D18="Sat",1,D18="Sun",2,D18="Thur",3,D18="Fri",4)</f>
        <v>2</v>
      </c>
      <c r="M18">
        <f t="shared" si="2"/>
        <v>2</v>
      </c>
      <c r="N18">
        <v>2</v>
      </c>
      <c r="O18">
        <v>21.58</v>
      </c>
      <c r="P18">
        <v>3.92</v>
      </c>
      <c r="Q18" s="9">
        <f t="shared" si="3"/>
        <v>2.6219165027353277</v>
      </c>
    </row>
    <row r="19" spans="2:17" x14ac:dyDescent="0.3">
      <c r="B19" t="s">
        <v>7</v>
      </c>
      <c r="C19" t="s">
        <v>8</v>
      </c>
      <c r="D19" t="s">
        <v>9</v>
      </c>
      <c r="E19" t="s">
        <v>10</v>
      </c>
      <c r="F19">
        <v>3</v>
      </c>
      <c r="G19">
        <v>10.33</v>
      </c>
      <c r="H19">
        <v>1.67</v>
      </c>
      <c r="J19">
        <f t="shared" si="0"/>
        <v>2</v>
      </c>
      <c r="K19">
        <f t="shared" si="1"/>
        <v>1</v>
      </c>
      <c r="L19" cm="1">
        <f t="array" ref="L19">_xlfn.IFS(D19="Sat",1,D19="Sun",2,D19="Thur",3,D19="Fri",4)</f>
        <v>2</v>
      </c>
      <c r="M19">
        <f t="shared" si="2"/>
        <v>2</v>
      </c>
      <c r="N19">
        <v>3</v>
      </c>
      <c r="O19">
        <v>10.33</v>
      </c>
      <c r="P19">
        <v>1.67</v>
      </c>
      <c r="Q19" s="9">
        <f t="shared" si="3"/>
        <v>1.7729977407830853</v>
      </c>
    </row>
    <row r="20" spans="2:17" x14ac:dyDescent="0.3">
      <c r="B20" t="s">
        <v>11</v>
      </c>
      <c r="C20" t="s">
        <v>8</v>
      </c>
      <c r="D20" t="s">
        <v>9</v>
      </c>
      <c r="E20" t="s">
        <v>10</v>
      </c>
      <c r="F20">
        <v>3</v>
      </c>
      <c r="G20">
        <v>16.29</v>
      </c>
      <c r="H20">
        <v>3.71</v>
      </c>
      <c r="J20">
        <f t="shared" si="0"/>
        <v>1</v>
      </c>
      <c r="K20">
        <f t="shared" si="1"/>
        <v>1</v>
      </c>
      <c r="L20" cm="1">
        <f t="array" ref="L20">_xlfn.IFS(D20="Sat",1,D20="Sun",2,D20="Thur",3,D20="Fri",4)</f>
        <v>2</v>
      </c>
      <c r="M20">
        <f t="shared" si="2"/>
        <v>2</v>
      </c>
      <c r="N20">
        <v>3</v>
      </c>
      <c r="O20">
        <v>16.29</v>
      </c>
      <c r="P20">
        <v>3.71</v>
      </c>
      <c r="Q20" s="9">
        <f t="shared" si="3"/>
        <v>2.3053146684120933</v>
      </c>
    </row>
    <row r="21" spans="2:17" x14ac:dyDescent="0.3">
      <c r="B21" t="s">
        <v>7</v>
      </c>
      <c r="C21" t="s">
        <v>8</v>
      </c>
      <c r="D21" t="s">
        <v>9</v>
      </c>
      <c r="E21" t="s">
        <v>10</v>
      </c>
      <c r="F21">
        <v>3</v>
      </c>
      <c r="G21">
        <v>16.97</v>
      </c>
      <c r="H21">
        <v>3.5</v>
      </c>
      <c r="J21">
        <f t="shared" si="0"/>
        <v>2</v>
      </c>
      <c r="K21">
        <f t="shared" si="1"/>
        <v>1</v>
      </c>
      <c r="L21" cm="1">
        <f t="array" ref="L21">_xlfn.IFS(D21="Sat",1,D21="Sun",2,D21="Thur",3,D21="Fri",4)</f>
        <v>2</v>
      </c>
      <c r="M21">
        <f t="shared" si="2"/>
        <v>2</v>
      </c>
      <c r="N21">
        <v>3</v>
      </c>
      <c r="O21">
        <v>16.97</v>
      </c>
      <c r="P21">
        <v>3.5</v>
      </c>
      <c r="Q21" s="9">
        <f t="shared" si="3"/>
        <v>2.3976141585887918</v>
      </c>
    </row>
    <row r="22" spans="2:17" x14ac:dyDescent="0.3">
      <c r="B22" t="s">
        <v>11</v>
      </c>
      <c r="C22" t="s">
        <v>8</v>
      </c>
      <c r="D22" t="s">
        <v>21</v>
      </c>
      <c r="E22" t="s">
        <v>10</v>
      </c>
      <c r="F22">
        <v>3</v>
      </c>
      <c r="G22">
        <v>20.65</v>
      </c>
      <c r="H22">
        <v>3.35</v>
      </c>
      <c r="J22">
        <f t="shared" si="0"/>
        <v>1</v>
      </c>
      <c r="K22">
        <f t="shared" si="1"/>
        <v>1</v>
      </c>
      <c r="L22" cm="1">
        <f t="array" ref="L22">_xlfn.IFS(D22="Sat",1,D22="Sun",2,D22="Thur",3,D22="Fri",4)</f>
        <v>1</v>
      </c>
      <c r="M22">
        <f t="shared" si="2"/>
        <v>2</v>
      </c>
      <c r="N22">
        <v>3</v>
      </c>
      <c r="O22">
        <v>20.65</v>
      </c>
      <c r="P22">
        <v>3.35</v>
      </c>
      <c r="Q22" s="9">
        <f t="shared" si="3"/>
        <v>2.6577077157890212</v>
      </c>
    </row>
    <row r="23" spans="2:17" x14ac:dyDescent="0.3">
      <c r="B23" t="s">
        <v>11</v>
      </c>
      <c r="C23" t="s">
        <v>8</v>
      </c>
      <c r="D23" t="s">
        <v>21</v>
      </c>
      <c r="E23" t="s">
        <v>10</v>
      </c>
      <c r="F23">
        <v>2</v>
      </c>
      <c r="G23">
        <v>17.920000000000002</v>
      </c>
      <c r="H23">
        <v>4.08</v>
      </c>
      <c r="J23">
        <f t="shared" si="0"/>
        <v>1</v>
      </c>
      <c r="K23">
        <f t="shared" si="1"/>
        <v>1</v>
      </c>
      <c r="L23" cm="1">
        <f t="array" ref="L23">_xlfn.IFS(D23="Sat",1,D23="Sun",2,D23="Thur",3,D23="Fri",4)</f>
        <v>1</v>
      </c>
      <c r="M23">
        <f t="shared" si="2"/>
        <v>2</v>
      </c>
      <c r="N23">
        <v>2</v>
      </c>
      <c r="O23">
        <v>17.920000000000002</v>
      </c>
      <c r="P23">
        <v>4.08</v>
      </c>
      <c r="Q23" s="9">
        <f t="shared" si="3"/>
        <v>2.2198782743890977</v>
      </c>
    </row>
    <row r="24" spans="2:17" x14ac:dyDescent="0.3">
      <c r="B24" t="s">
        <v>7</v>
      </c>
      <c r="C24" t="s">
        <v>8</v>
      </c>
      <c r="D24" t="s">
        <v>21</v>
      </c>
      <c r="E24" t="s">
        <v>10</v>
      </c>
      <c r="F24">
        <v>2</v>
      </c>
      <c r="G24">
        <v>20.29</v>
      </c>
      <c r="H24">
        <v>2.75</v>
      </c>
      <c r="J24">
        <f t="shared" si="0"/>
        <v>2</v>
      </c>
      <c r="K24">
        <f t="shared" si="1"/>
        <v>1</v>
      </c>
      <c r="L24" cm="1">
        <f t="array" ref="L24">_xlfn.IFS(D24="Sat",1,D24="Sun",2,D24="Thur",3,D24="Fri",4)</f>
        <v>1</v>
      </c>
      <c r="M24">
        <f t="shared" si="2"/>
        <v>2</v>
      </c>
      <c r="N24">
        <v>2</v>
      </c>
      <c r="O24">
        <v>20.29</v>
      </c>
      <c r="P24">
        <v>2.75</v>
      </c>
      <c r="Q24" s="9">
        <f t="shared" si="3"/>
        <v>2.4711539311458637</v>
      </c>
    </row>
    <row r="25" spans="2:17" x14ac:dyDescent="0.3">
      <c r="B25" t="s">
        <v>7</v>
      </c>
      <c r="C25" t="s">
        <v>8</v>
      </c>
      <c r="D25" t="s">
        <v>21</v>
      </c>
      <c r="E25" t="s">
        <v>10</v>
      </c>
      <c r="F25">
        <v>2</v>
      </c>
      <c r="G25">
        <v>15.77</v>
      </c>
      <c r="H25">
        <v>2.23</v>
      </c>
      <c r="J25">
        <f t="shared" si="0"/>
        <v>2</v>
      </c>
      <c r="K25">
        <f t="shared" si="1"/>
        <v>1</v>
      </c>
      <c r="L25" cm="1">
        <f t="array" ref="L25">_xlfn.IFS(D25="Sat",1,D25="Sun",2,D25="Thur",3,D25="Fri",4)</f>
        <v>1</v>
      </c>
      <c r="M25">
        <f t="shared" si="2"/>
        <v>2</v>
      </c>
      <c r="N25">
        <v>2</v>
      </c>
      <c r="O25">
        <v>15.77</v>
      </c>
      <c r="P25">
        <v>2.23</v>
      </c>
      <c r="Q25" s="9">
        <f t="shared" si="3"/>
        <v>2.0459632370974004</v>
      </c>
    </row>
    <row r="26" spans="2:17" x14ac:dyDescent="0.3">
      <c r="B26" t="s">
        <v>11</v>
      </c>
      <c r="C26" t="s">
        <v>8</v>
      </c>
      <c r="D26" t="s">
        <v>21</v>
      </c>
      <c r="E26" t="s">
        <v>10</v>
      </c>
      <c r="F26">
        <v>4</v>
      </c>
      <c r="G26">
        <v>39.42</v>
      </c>
      <c r="H26">
        <v>7.58</v>
      </c>
      <c r="J26">
        <f t="shared" si="0"/>
        <v>1</v>
      </c>
      <c r="K26">
        <f t="shared" si="1"/>
        <v>1</v>
      </c>
      <c r="L26" cm="1">
        <f t="array" ref="L26">_xlfn.IFS(D26="Sat",1,D26="Sun",2,D26="Thur",3,D26="Fri",4)</f>
        <v>1</v>
      </c>
      <c r="M26">
        <f t="shared" si="2"/>
        <v>2</v>
      </c>
      <c r="N26">
        <v>4</v>
      </c>
      <c r="O26">
        <v>39.42</v>
      </c>
      <c r="P26">
        <v>7.58</v>
      </c>
      <c r="Q26" s="9">
        <f t="shared" si="3"/>
        <v>4.6043997086352606</v>
      </c>
    </row>
    <row r="27" spans="2:17" x14ac:dyDescent="0.3">
      <c r="B27" t="s">
        <v>11</v>
      </c>
      <c r="C27" t="s">
        <v>8</v>
      </c>
      <c r="D27" t="s">
        <v>21</v>
      </c>
      <c r="E27" t="s">
        <v>10</v>
      </c>
      <c r="F27">
        <v>2</v>
      </c>
      <c r="G27">
        <v>19.82</v>
      </c>
      <c r="H27">
        <v>3.18</v>
      </c>
      <c r="J27">
        <f t="shared" si="0"/>
        <v>1</v>
      </c>
      <c r="K27">
        <f t="shared" si="1"/>
        <v>1</v>
      </c>
      <c r="L27" cm="1">
        <f t="array" ref="L27">_xlfn.IFS(D27="Sat",1,D27="Sun",2,D27="Thur",3,D27="Fri",4)</f>
        <v>1</v>
      </c>
      <c r="M27">
        <f t="shared" si="2"/>
        <v>2</v>
      </c>
      <c r="N27">
        <v>2</v>
      </c>
      <c r="O27">
        <v>19.82</v>
      </c>
      <c r="P27">
        <v>3.18</v>
      </c>
      <c r="Q27" s="9">
        <f t="shared" si="3"/>
        <v>2.3986088758696464</v>
      </c>
    </row>
    <row r="28" spans="2:17" x14ac:dyDescent="0.3">
      <c r="B28" t="s">
        <v>11</v>
      </c>
      <c r="C28" t="s">
        <v>8</v>
      </c>
      <c r="D28" t="s">
        <v>21</v>
      </c>
      <c r="E28" t="s">
        <v>10</v>
      </c>
      <c r="F28">
        <v>4</v>
      </c>
      <c r="G28">
        <v>17.809999999999999</v>
      </c>
      <c r="H28">
        <v>2.34</v>
      </c>
      <c r="J28">
        <f t="shared" si="0"/>
        <v>1</v>
      </c>
      <c r="K28">
        <f t="shared" si="1"/>
        <v>1</v>
      </c>
      <c r="L28" cm="1">
        <f t="array" ref="L28">_xlfn.IFS(D28="Sat",1,D28="Sun",2,D28="Thur",3,D28="Fri",4)</f>
        <v>1</v>
      </c>
      <c r="M28">
        <f t="shared" si="2"/>
        <v>2</v>
      </c>
      <c r="N28">
        <v>4</v>
      </c>
      <c r="O28">
        <v>17.809999999999999</v>
      </c>
      <c r="P28">
        <v>2.34</v>
      </c>
      <c r="Q28" s="9">
        <f t="shared" si="3"/>
        <v>2.5715742886380735</v>
      </c>
    </row>
    <row r="29" spans="2:17" x14ac:dyDescent="0.3">
      <c r="B29" t="s">
        <v>11</v>
      </c>
      <c r="C29" t="s">
        <v>8</v>
      </c>
      <c r="D29" t="s">
        <v>21</v>
      </c>
      <c r="E29" t="s">
        <v>10</v>
      </c>
      <c r="F29">
        <v>2</v>
      </c>
      <c r="G29">
        <v>13.37</v>
      </c>
      <c r="H29">
        <v>2</v>
      </c>
      <c r="J29">
        <f t="shared" si="0"/>
        <v>1</v>
      </c>
      <c r="K29">
        <f t="shared" si="1"/>
        <v>1</v>
      </c>
      <c r="L29" cm="1">
        <f t="array" ref="L29">_xlfn.IFS(D29="Sat",1,D29="Sun",2,D29="Thur",3,D29="Fri",4)</f>
        <v>1</v>
      </c>
      <c r="M29">
        <f t="shared" si="2"/>
        <v>2</v>
      </c>
      <c r="N29">
        <v>2</v>
      </c>
      <c r="O29">
        <v>13.37</v>
      </c>
      <c r="P29">
        <v>2</v>
      </c>
      <c r="Q29" s="9">
        <f t="shared" si="3"/>
        <v>1.7918655182119942</v>
      </c>
    </row>
    <row r="30" spans="2:17" x14ac:dyDescent="0.3">
      <c r="B30" t="s">
        <v>11</v>
      </c>
      <c r="C30" t="s">
        <v>8</v>
      </c>
      <c r="D30" t="s">
        <v>21</v>
      </c>
      <c r="E30" t="s">
        <v>10</v>
      </c>
      <c r="F30">
        <v>2</v>
      </c>
      <c r="G30">
        <v>12.69</v>
      </c>
      <c r="H30">
        <v>2</v>
      </c>
      <c r="J30">
        <f t="shared" si="0"/>
        <v>1</v>
      </c>
      <c r="K30">
        <f t="shared" si="1"/>
        <v>1</v>
      </c>
      <c r="L30" cm="1">
        <f t="array" ref="L30">_xlfn.IFS(D30="Sat",1,D30="Sun",2,D30="Thur",3,D30="Fri",4)</f>
        <v>1</v>
      </c>
      <c r="M30">
        <f t="shared" si="2"/>
        <v>2</v>
      </c>
      <c r="N30">
        <v>2</v>
      </c>
      <c r="O30">
        <v>12.69</v>
      </c>
      <c r="P30">
        <v>2</v>
      </c>
      <c r="Q30" s="9">
        <f t="shared" si="3"/>
        <v>1.7278987766294822</v>
      </c>
    </row>
    <row r="31" spans="2:17" x14ac:dyDescent="0.3">
      <c r="B31" t="s">
        <v>11</v>
      </c>
      <c r="C31" t="s">
        <v>8</v>
      </c>
      <c r="D31" t="s">
        <v>21</v>
      </c>
      <c r="E31" t="s">
        <v>10</v>
      </c>
      <c r="F31">
        <v>2</v>
      </c>
      <c r="G31">
        <v>21.7</v>
      </c>
      <c r="H31">
        <v>4.3</v>
      </c>
      <c r="J31">
        <f t="shared" si="0"/>
        <v>1</v>
      </c>
      <c r="K31">
        <f t="shared" si="1"/>
        <v>1</v>
      </c>
      <c r="L31" cm="1">
        <f t="array" ref="L31">_xlfn.IFS(D31="Sat",1,D31="Sun",2,D31="Thur",3,D31="Fri",4)</f>
        <v>1</v>
      </c>
      <c r="M31">
        <f t="shared" si="2"/>
        <v>2</v>
      </c>
      <c r="N31">
        <v>2</v>
      </c>
      <c r="O31">
        <v>21.7</v>
      </c>
      <c r="P31">
        <v>4.3</v>
      </c>
      <c r="Q31" s="9">
        <f t="shared" si="3"/>
        <v>2.5754581025977679</v>
      </c>
    </row>
    <row r="32" spans="2:17" x14ac:dyDescent="0.3">
      <c r="B32" t="s">
        <v>7</v>
      </c>
      <c r="C32" t="s">
        <v>8</v>
      </c>
      <c r="D32" t="s">
        <v>21</v>
      </c>
      <c r="E32" t="s">
        <v>10</v>
      </c>
      <c r="F32">
        <v>2</v>
      </c>
      <c r="G32">
        <v>19.649999999999999</v>
      </c>
      <c r="H32">
        <v>3</v>
      </c>
      <c r="J32">
        <f t="shared" si="0"/>
        <v>2</v>
      </c>
      <c r="K32">
        <f t="shared" si="1"/>
        <v>1</v>
      </c>
      <c r="L32" cm="1">
        <f t="array" ref="L32">_xlfn.IFS(D32="Sat",1,D32="Sun",2,D32="Thur",3,D32="Fri",4)</f>
        <v>1</v>
      </c>
      <c r="M32">
        <f t="shared" si="2"/>
        <v>2</v>
      </c>
      <c r="N32">
        <v>2</v>
      </c>
      <c r="O32">
        <v>19.649999999999999</v>
      </c>
      <c r="P32">
        <v>3</v>
      </c>
      <c r="Q32" s="9">
        <f t="shared" si="3"/>
        <v>2.410949939068205</v>
      </c>
    </row>
    <row r="33" spans="2:17" x14ac:dyDescent="0.3">
      <c r="B33" t="s">
        <v>11</v>
      </c>
      <c r="C33" t="s">
        <v>8</v>
      </c>
      <c r="D33" t="s">
        <v>21</v>
      </c>
      <c r="E33" t="s">
        <v>10</v>
      </c>
      <c r="F33">
        <v>2</v>
      </c>
      <c r="G33">
        <v>9.5500000000000007</v>
      </c>
      <c r="H33">
        <v>1.45</v>
      </c>
      <c r="J33">
        <f t="shared" si="0"/>
        <v>1</v>
      </c>
      <c r="K33">
        <f t="shared" si="1"/>
        <v>1</v>
      </c>
      <c r="L33" cm="1">
        <f t="array" ref="L33">_xlfn.IFS(D33="Sat",1,D33="Sun",2,D33="Thur",3,D33="Fri",4)</f>
        <v>1</v>
      </c>
      <c r="M33">
        <f t="shared" si="2"/>
        <v>2</v>
      </c>
      <c r="N33">
        <v>2</v>
      </c>
      <c r="O33">
        <v>9.5500000000000007</v>
      </c>
      <c r="P33">
        <v>1.45</v>
      </c>
      <c r="Q33" s="9">
        <f t="shared" si="3"/>
        <v>1.4325229404984703</v>
      </c>
    </row>
    <row r="34" spans="2:17" x14ac:dyDescent="0.3">
      <c r="B34" t="s">
        <v>11</v>
      </c>
      <c r="C34" t="s">
        <v>8</v>
      </c>
      <c r="D34" t="s">
        <v>21</v>
      </c>
      <c r="E34" t="s">
        <v>10</v>
      </c>
      <c r="F34">
        <v>4</v>
      </c>
      <c r="G34">
        <v>18.350000000000001</v>
      </c>
      <c r="H34">
        <v>2.5</v>
      </c>
      <c r="J34">
        <f t="shared" si="0"/>
        <v>1</v>
      </c>
      <c r="K34">
        <f t="shared" si="1"/>
        <v>1</v>
      </c>
      <c r="L34" cm="1">
        <f t="array" ref="L34">_xlfn.IFS(D34="Sat",1,D34="Sun",2,D34="Thur",3,D34="Fri",4)</f>
        <v>1</v>
      </c>
      <c r="M34">
        <f t="shared" si="2"/>
        <v>2</v>
      </c>
      <c r="N34">
        <v>4</v>
      </c>
      <c r="O34">
        <v>18.350000000000001</v>
      </c>
      <c r="P34">
        <v>2.5</v>
      </c>
      <c r="Q34" s="9">
        <f t="shared" si="3"/>
        <v>2.6223714069535982</v>
      </c>
    </row>
    <row r="35" spans="2:17" x14ac:dyDescent="0.3">
      <c r="B35" t="s">
        <v>7</v>
      </c>
      <c r="C35" t="s">
        <v>8</v>
      </c>
      <c r="D35" t="s">
        <v>21</v>
      </c>
      <c r="E35" t="s">
        <v>10</v>
      </c>
      <c r="F35">
        <v>2</v>
      </c>
      <c r="G35">
        <v>15.06</v>
      </c>
      <c r="H35">
        <v>3</v>
      </c>
      <c r="J35">
        <f t="shared" si="0"/>
        <v>2</v>
      </c>
      <c r="K35">
        <f t="shared" si="1"/>
        <v>1</v>
      </c>
      <c r="L35" cm="1">
        <f t="array" ref="L35">_xlfn.IFS(D35="Sat",1,D35="Sun",2,D35="Thur",3,D35="Fri",4)</f>
        <v>1</v>
      </c>
      <c r="M35">
        <f t="shared" si="2"/>
        <v>2</v>
      </c>
      <c r="N35">
        <v>2</v>
      </c>
      <c r="O35">
        <v>15.06</v>
      </c>
      <c r="P35">
        <v>3</v>
      </c>
      <c r="Q35" s="9">
        <f t="shared" si="3"/>
        <v>1.979174433386248</v>
      </c>
    </row>
    <row r="36" spans="2:17" x14ac:dyDescent="0.3">
      <c r="B36" t="s">
        <v>7</v>
      </c>
      <c r="C36" t="s">
        <v>8</v>
      </c>
      <c r="D36" t="s">
        <v>21</v>
      </c>
      <c r="E36" t="s">
        <v>10</v>
      </c>
      <c r="F36">
        <v>4</v>
      </c>
      <c r="G36">
        <v>20.69</v>
      </c>
      <c r="H36">
        <v>2.4500000000000002</v>
      </c>
      <c r="J36">
        <f t="shared" si="0"/>
        <v>2</v>
      </c>
      <c r="K36">
        <f t="shared" si="1"/>
        <v>1</v>
      </c>
      <c r="L36" cm="1">
        <f t="array" ref="L36">_xlfn.IFS(D36="Sat",1,D36="Sun",2,D36="Thur",3,D36="Fri",4)</f>
        <v>1</v>
      </c>
      <c r="M36">
        <f t="shared" si="2"/>
        <v>2</v>
      </c>
      <c r="N36">
        <v>4</v>
      </c>
      <c r="O36">
        <v>20.69</v>
      </c>
      <c r="P36">
        <v>2.4500000000000002</v>
      </c>
      <c r="Q36" s="9">
        <f t="shared" si="3"/>
        <v>2.8708250015817236</v>
      </c>
    </row>
    <row r="37" spans="2:17" x14ac:dyDescent="0.3">
      <c r="B37" t="s">
        <v>11</v>
      </c>
      <c r="C37" t="s">
        <v>8</v>
      </c>
      <c r="D37" t="s">
        <v>21</v>
      </c>
      <c r="E37" t="s">
        <v>10</v>
      </c>
      <c r="F37">
        <v>2</v>
      </c>
      <c r="G37">
        <v>17.78</v>
      </c>
      <c r="H37">
        <v>3.27</v>
      </c>
      <c r="J37">
        <f t="shared" si="0"/>
        <v>1</v>
      </c>
      <c r="K37">
        <f t="shared" si="1"/>
        <v>1</v>
      </c>
      <c r="L37" cm="1">
        <f t="array" ref="L37">_xlfn.IFS(D37="Sat",1,D37="Sun",2,D37="Thur",3,D37="Fri",4)</f>
        <v>1</v>
      </c>
      <c r="M37">
        <f t="shared" si="2"/>
        <v>2</v>
      </c>
      <c r="N37">
        <v>2</v>
      </c>
      <c r="O37">
        <v>17.78</v>
      </c>
      <c r="P37">
        <v>3.27</v>
      </c>
      <c r="Q37" s="9">
        <f t="shared" si="3"/>
        <v>2.2067086511221099</v>
      </c>
    </row>
    <row r="38" spans="2:17" x14ac:dyDescent="0.3">
      <c r="B38" t="s">
        <v>11</v>
      </c>
      <c r="C38" t="s">
        <v>8</v>
      </c>
      <c r="D38" t="s">
        <v>21</v>
      </c>
      <c r="E38" t="s">
        <v>10</v>
      </c>
      <c r="F38">
        <v>3</v>
      </c>
      <c r="G38">
        <v>24.06</v>
      </c>
      <c r="H38">
        <v>3.6</v>
      </c>
      <c r="J38">
        <f t="shared" si="0"/>
        <v>1</v>
      </c>
      <c r="K38">
        <f t="shared" si="1"/>
        <v>1</v>
      </c>
      <c r="L38" cm="1">
        <f t="array" ref="L38">_xlfn.IFS(D38="Sat",1,D38="Sun",2,D38="Thur",3,D38="Fri",4)</f>
        <v>1</v>
      </c>
      <c r="M38">
        <f t="shared" si="2"/>
        <v>2</v>
      </c>
      <c r="N38">
        <v>3</v>
      </c>
      <c r="O38">
        <v>24.06</v>
      </c>
      <c r="P38">
        <v>3.6</v>
      </c>
      <c r="Q38" s="9">
        <f t="shared" si="3"/>
        <v>2.978482111077795</v>
      </c>
    </row>
    <row r="39" spans="2:17" x14ac:dyDescent="0.3">
      <c r="B39" t="s">
        <v>11</v>
      </c>
      <c r="C39" t="s">
        <v>8</v>
      </c>
      <c r="D39" t="s">
        <v>21</v>
      </c>
      <c r="E39" t="s">
        <v>10</v>
      </c>
      <c r="F39">
        <v>3</v>
      </c>
      <c r="G39">
        <v>16.309999999999999</v>
      </c>
      <c r="H39">
        <v>2</v>
      </c>
      <c r="J39">
        <f t="shared" si="0"/>
        <v>1</v>
      </c>
      <c r="K39">
        <f t="shared" si="1"/>
        <v>1</v>
      </c>
      <c r="L39" cm="1">
        <f t="array" ref="L39">_xlfn.IFS(D39="Sat",1,D39="Sun",2,D39="Thur",3,D39="Fri",4)</f>
        <v>1</v>
      </c>
      <c r="M39">
        <f t="shared" si="2"/>
        <v>2</v>
      </c>
      <c r="N39">
        <v>3</v>
      </c>
      <c r="O39">
        <v>16.309999999999999</v>
      </c>
      <c r="P39">
        <v>2</v>
      </c>
      <c r="Q39" s="9">
        <f t="shared" si="3"/>
        <v>2.2494493945123994</v>
      </c>
    </row>
    <row r="40" spans="2:17" x14ac:dyDescent="0.3">
      <c r="B40" t="s">
        <v>7</v>
      </c>
      <c r="C40" t="s">
        <v>8</v>
      </c>
      <c r="D40" t="s">
        <v>21</v>
      </c>
      <c r="E40" t="s">
        <v>10</v>
      </c>
      <c r="F40">
        <v>3</v>
      </c>
      <c r="G40">
        <v>16.93</v>
      </c>
      <c r="H40">
        <v>3.07</v>
      </c>
      <c r="J40">
        <f t="shared" si="0"/>
        <v>2</v>
      </c>
      <c r="K40">
        <f t="shared" si="1"/>
        <v>1</v>
      </c>
      <c r="L40" cm="1">
        <f t="array" ref="L40">_xlfn.IFS(D40="Sat",1,D40="Sun",2,D40="Thur",3,D40="Fri",4)</f>
        <v>1</v>
      </c>
      <c r="M40">
        <f t="shared" si="2"/>
        <v>2</v>
      </c>
      <c r="N40">
        <v>3</v>
      </c>
      <c r="O40">
        <v>16.93</v>
      </c>
      <c r="P40">
        <v>3.07</v>
      </c>
      <c r="Q40" s="9">
        <f t="shared" si="3"/>
        <v>2.3361047604318181</v>
      </c>
    </row>
    <row r="41" spans="2:17" x14ac:dyDescent="0.3">
      <c r="B41" t="s">
        <v>11</v>
      </c>
      <c r="C41" t="s">
        <v>8</v>
      </c>
      <c r="D41" t="s">
        <v>21</v>
      </c>
      <c r="E41" t="s">
        <v>10</v>
      </c>
      <c r="F41">
        <v>3</v>
      </c>
      <c r="G41">
        <v>18.690000000000001</v>
      </c>
      <c r="H41">
        <v>2.31</v>
      </c>
      <c r="J41">
        <f t="shared" si="0"/>
        <v>1</v>
      </c>
      <c r="K41">
        <f t="shared" si="1"/>
        <v>1</v>
      </c>
      <c r="L41" cm="1">
        <f t="array" ref="L41">_xlfn.IFS(D41="Sat",1,D41="Sun",2,D41="Thur",3,D41="Fri",4)</f>
        <v>1</v>
      </c>
      <c r="M41">
        <f t="shared" si="2"/>
        <v>2</v>
      </c>
      <c r="N41">
        <v>3</v>
      </c>
      <c r="O41">
        <v>18.690000000000001</v>
      </c>
      <c r="P41">
        <v>2.31</v>
      </c>
      <c r="Q41" s="9">
        <f t="shared" si="3"/>
        <v>2.4733329900511922</v>
      </c>
    </row>
    <row r="42" spans="2:17" x14ac:dyDescent="0.3">
      <c r="B42" t="s">
        <v>11</v>
      </c>
      <c r="C42" t="s">
        <v>8</v>
      </c>
      <c r="D42" t="s">
        <v>21</v>
      </c>
      <c r="E42" t="s">
        <v>10</v>
      </c>
      <c r="F42">
        <v>3</v>
      </c>
      <c r="G42">
        <v>31.27</v>
      </c>
      <c r="H42">
        <v>5</v>
      </c>
      <c r="J42">
        <f t="shared" si="0"/>
        <v>1</v>
      </c>
      <c r="K42">
        <f t="shared" si="1"/>
        <v>1</v>
      </c>
      <c r="L42" cm="1">
        <f t="array" ref="L42">_xlfn.IFS(D42="Sat",1,D42="Sun",2,D42="Thur",3,D42="Fri",4)</f>
        <v>1</v>
      </c>
      <c r="M42">
        <f t="shared" si="2"/>
        <v>2</v>
      </c>
      <c r="N42">
        <v>3</v>
      </c>
      <c r="O42">
        <v>31.27</v>
      </c>
      <c r="P42">
        <v>5</v>
      </c>
      <c r="Q42" s="9">
        <f t="shared" si="3"/>
        <v>3.6567177093276668</v>
      </c>
    </row>
    <row r="43" spans="2:17" x14ac:dyDescent="0.3">
      <c r="B43" t="s">
        <v>11</v>
      </c>
      <c r="C43" t="s">
        <v>8</v>
      </c>
      <c r="D43" t="s">
        <v>21</v>
      </c>
      <c r="E43" t="s">
        <v>10</v>
      </c>
      <c r="F43">
        <v>3</v>
      </c>
      <c r="G43">
        <v>16.04</v>
      </c>
      <c r="H43">
        <v>2.2400000000000002</v>
      </c>
      <c r="J43">
        <f t="shared" si="0"/>
        <v>1</v>
      </c>
      <c r="K43">
        <f t="shared" si="1"/>
        <v>1</v>
      </c>
      <c r="L43" cm="1">
        <f t="array" ref="L43">_xlfn.IFS(D43="Sat",1,D43="Sun",2,D43="Thur",3,D43="Fri",4)</f>
        <v>1</v>
      </c>
      <c r="M43">
        <f t="shared" si="2"/>
        <v>2</v>
      </c>
      <c r="N43">
        <v>3</v>
      </c>
      <c r="O43">
        <v>16.04</v>
      </c>
      <c r="P43">
        <v>2.2400000000000002</v>
      </c>
      <c r="Q43" s="9">
        <f t="shared" si="3"/>
        <v>2.2240508353546375</v>
      </c>
    </row>
    <row r="44" spans="2:17" x14ac:dyDescent="0.3">
      <c r="B44" t="s">
        <v>11</v>
      </c>
      <c r="C44" t="s">
        <v>8</v>
      </c>
      <c r="D44" t="s">
        <v>9</v>
      </c>
      <c r="E44" t="s">
        <v>10</v>
      </c>
      <c r="F44">
        <v>2</v>
      </c>
      <c r="G44">
        <v>17.46</v>
      </c>
      <c r="H44">
        <v>2.54</v>
      </c>
      <c r="J44">
        <f t="shared" si="0"/>
        <v>1</v>
      </c>
      <c r="K44">
        <f t="shared" si="1"/>
        <v>1</v>
      </c>
      <c r="L44" cm="1">
        <f t="array" ref="L44">_xlfn.IFS(D44="Sat",1,D44="Sun",2,D44="Thur",3,D44="Fri",4)</f>
        <v>2</v>
      </c>
      <c r="M44">
        <f t="shared" si="2"/>
        <v>2</v>
      </c>
      <c r="N44">
        <v>2</v>
      </c>
      <c r="O44">
        <v>17.46</v>
      </c>
      <c r="P44">
        <v>2.54</v>
      </c>
      <c r="Q44" s="9">
        <f t="shared" si="3"/>
        <v>2.2343533037354009</v>
      </c>
    </row>
    <row r="45" spans="2:17" x14ac:dyDescent="0.3">
      <c r="B45" t="s">
        <v>11</v>
      </c>
      <c r="C45" t="s">
        <v>8</v>
      </c>
      <c r="D45" t="s">
        <v>9</v>
      </c>
      <c r="E45" t="s">
        <v>10</v>
      </c>
      <c r="F45">
        <v>2</v>
      </c>
      <c r="G45">
        <v>13.94</v>
      </c>
      <c r="H45">
        <v>3.06</v>
      </c>
      <c r="J45">
        <f t="shared" si="0"/>
        <v>1</v>
      </c>
      <c r="K45">
        <f t="shared" si="1"/>
        <v>1</v>
      </c>
      <c r="L45" cm="1">
        <f t="array" ref="L45">_xlfn.IFS(D45="Sat",1,D45="Sun",2,D45="Thur",3,D45="Fri",4)</f>
        <v>2</v>
      </c>
      <c r="M45">
        <f t="shared" si="2"/>
        <v>2</v>
      </c>
      <c r="N45">
        <v>2</v>
      </c>
      <c r="O45">
        <v>13.94</v>
      </c>
      <c r="P45">
        <v>3.06</v>
      </c>
      <c r="Q45" s="9">
        <f t="shared" si="3"/>
        <v>1.9032313473082794</v>
      </c>
    </row>
    <row r="46" spans="2:17" x14ac:dyDescent="0.3">
      <c r="B46" t="s">
        <v>11</v>
      </c>
      <c r="C46" t="s">
        <v>8</v>
      </c>
      <c r="D46" t="s">
        <v>9</v>
      </c>
      <c r="E46" t="s">
        <v>10</v>
      </c>
      <c r="F46">
        <v>2</v>
      </c>
      <c r="G46">
        <v>9.68</v>
      </c>
      <c r="H46">
        <v>1.32</v>
      </c>
      <c r="J46">
        <f t="shared" si="0"/>
        <v>1</v>
      </c>
      <c r="K46">
        <f t="shared" si="1"/>
        <v>1</v>
      </c>
      <c r="L46" cm="1">
        <f t="array" ref="L46">_xlfn.IFS(D46="Sat",1,D46="Sun",2,D46="Thur",3,D46="Fri",4)</f>
        <v>2</v>
      </c>
      <c r="M46">
        <f t="shared" si="2"/>
        <v>2</v>
      </c>
      <c r="N46">
        <v>2</v>
      </c>
      <c r="O46">
        <v>9.68</v>
      </c>
      <c r="P46">
        <v>1.32</v>
      </c>
      <c r="Q46" s="9">
        <f t="shared" si="3"/>
        <v>1.5024985250413652</v>
      </c>
    </row>
    <row r="47" spans="2:17" x14ac:dyDescent="0.3">
      <c r="B47" t="s">
        <v>11</v>
      </c>
      <c r="C47" t="s">
        <v>8</v>
      </c>
      <c r="D47" t="s">
        <v>9</v>
      </c>
      <c r="E47" t="s">
        <v>10</v>
      </c>
      <c r="F47">
        <v>4</v>
      </c>
      <c r="G47">
        <v>30.4</v>
      </c>
      <c r="H47">
        <v>5.6</v>
      </c>
      <c r="J47">
        <f t="shared" si="0"/>
        <v>1</v>
      </c>
      <c r="K47">
        <f t="shared" si="1"/>
        <v>1</v>
      </c>
      <c r="L47" cm="1">
        <f t="array" ref="L47">_xlfn.IFS(D47="Sat",1,D47="Sun",2,D47="Thur",3,D47="Fri",4)</f>
        <v>2</v>
      </c>
      <c r="M47">
        <f t="shared" si="2"/>
        <v>2</v>
      </c>
      <c r="N47">
        <v>4</v>
      </c>
      <c r="O47">
        <v>30.4</v>
      </c>
      <c r="P47">
        <v>5.6</v>
      </c>
      <c r="Q47" s="9">
        <f t="shared" si="3"/>
        <v>3.8136463439428816</v>
      </c>
    </row>
    <row r="48" spans="2:17" x14ac:dyDescent="0.3">
      <c r="B48" t="s">
        <v>11</v>
      </c>
      <c r="C48" t="s">
        <v>8</v>
      </c>
      <c r="D48" t="s">
        <v>9</v>
      </c>
      <c r="E48" t="s">
        <v>10</v>
      </c>
      <c r="F48">
        <v>2</v>
      </c>
      <c r="G48">
        <v>18.29</v>
      </c>
      <c r="H48">
        <v>3</v>
      </c>
      <c r="J48">
        <f t="shared" si="0"/>
        <v>1</v>
      </c>
      <c r="K48">
        <f t="shared" si="1"/>
        <v>1</v>
      </c>
      <c r="L48" cm="1">
        <f t="array" ref="L48">_xlfn.IFS(D48="Sat",1,D48="Sun",2,D48="Thur",3,D48="Fri",4)</f>
        <v>2</v>
      </c>
      <c r="M48">
        <f t="shared" si="2"/>
        <v>2</v>
      </c>
      <c r="N48">
        <v>2</v>
      </c>
      <c r="O48">
        <v>18.29</v>
      </c>
      <c r="P48">
        <v>3</v>
      </c>
      <c r="Q48" s="9">
        <f t="shared" si="3"/>
        <v>2.3124303559611143</v>
      </c>
    </row>
    <row r="49" spans="2:17" x14ac:dyDescent="0.3">
      <c r="B49" t="s">
        <v>11</v>
      </c>
      <c r="C49" t="s">
        <v>8</v>
      </c>
      <c r="D49" t="s">
        <v>9</v>
      </c>
      <c r="E49" t="s">
        <v>10</v>
      </c>
      <c r="F49">
        <v>2</v>
      </c>
      <c r="G49">
        <v>22.23</v>
      </c>
      <c r="H49">
        <v>5</v>
      </c>
      <c r="J49">
        <f t="shared" si="0"/>
        <v>1</v>
      </c>
      <c r="K49">
        <f t="shared" si="1"/>
        <v>1</v>
      </c>
      <c r="L49" cm="1">
        <f t="array" ref="L49">_xlfn.IFS(D49="Sat",1,D49="Sun",2,D49="Thur",3,D49="Fri",4)</f>
        <v>2</v>
      </c>
      <c r="M49">
        <f t="shared" si="2"/>
        <v>2</v>
      </c>
      <c r="N49">
        <v>2</v>
      </c>
      <c r="O49">
        <v>22.23</v>
      </c>
      <c r="P49">
        <v>5</v>
      </c>
      <c r="Q49" s="9">
        <f t="shared" si="3"/>
        <v>2.6830611821891992</v>
      </c>
    </row>
    <row r="50" spans="2:17" x14ac:dyDescent="0.3">
      <c r="B50" t="s">
        <v>11</v>
      </c>
      <c r="C50" t="s">
        <v>8</v>
      </c>
      <c r="D50" t="s">
        <v>9</v>
      </c>
      <c r="E50" t="s">
        <v>10</v>
      </c>
      <c r="F50">
        <v>4</v>
      </c>
      <c r="G50">
        <v>32.4</v>
      </c>
      <c r="H50">
        <v>6</v>
      </c>
      <c r="J50">
        <f t="shared" si="0"/>
        <v>1</v>
      </c>
      <c r="K50">
        <f t="shared" si="1"/>
        <v>1</v>
      </c>
      <c r="L50" cm="1">
        <f t="array" ref="L50">_xlfn.IFS(D50="Sat",1,D50="Sun",2,D50="Thur",3,D50="Fri",4)</f>
        <v>2</v>
      </c>
      <c r="M50">
        <f t="shared" si="2"/>
        <v>2</v>
      </c>
      <c r="N50">
        <v>4</v>
      </c>
      <c r="O50">
        <v>32.4</v>
      </c>
      <c r="P50">
        <v>6</v>
      </c>
      <c r="Q50" s="9">
        <f t="shared" si="3"/>
        <v>4.0017838191855644</v>
      </c>
    </row>
    <row r="51" spans="2:17" x14ac:dyDescent="0.3">
      <c r="B51" t="s">
        <v>11</v>
      </c>
      <c r="C51" t="s">
        <v>8</v>
      </c>
      <c r="D51" t="s">
        <v>9</v>
      </c>
      <c r="E51" t="s">
        <v>10</v>
      </c>
      <c r="F51">
        <v>3</v>
      </c>
      <c r="G51">
        <v>28.55</v>
      </c>
      <c r="H51">
        <v>2.0499999999999998</v>
      </c>
      <c r="J51">
        <f t="shared" si="0"/>
        <v>1</v>
      </c>
      <c r="K51">
        <f t="shared" si="1"/>
        <v>1</v>
      </c>
      <c r="L51" cm="1">
        <f t="array" ref="L51">_xlfn.IFS(D51="Sat",1,D51="Sun",2,D51="Thur",3,D51="Fri",4)</f>
        <v>2</v>
      </c>
      <c r="M51">
        <f t="shared" si="2"/>
        <v>2</v>
      </c>
      <c r="N51">
        <v>3</v>
      </c>
      <c r="O51">
        <v>28.55</v>
      </c>
      <c r="P51">
        <v>2.0499999999999998</v>
      </c>
      <c r="Q51" s="9">
        <f t="shared" si="3"/>
        <v>3.4585973916497386</v>
      </c>
    </row>
    <row r="52" spans="2:17" x14ac:dyDescent="0.3">
      <c r="B52" t="s">
        <v>11</v>
      </c>
      <c r="C52" t="s">
        <v>8</v>
      </c>
      <c r="D52" t="s">
        <v>9</v>
      </c>
      <c r="E52" t="s">
        <v>10</v>
      </c>
      <c r="F52">
        <v>2</v>
      </c>
      <c r="G52">
        <v>18.04</v>
      </c>
      <c r="H52">
        <v>3</v>
      </c>
      <c r="J52">
        <f t="shared" si="0"/>
        <v>1</v>
      </c>
      <c r="K52">
        <f t="shared" si="1"/>
        <v>1</v>
      </c>
      <c r="L52" cm="1">
        <f t="array" ref="L52">_xlfn.IFS(D52="Sat",1,D52="Sun",2,D52="Thur",3,D52="Fri",4)</f>
        <v>2</v>
      </c>
      <c r="M52">
        <f t="shared" si="2"/>
        <v>2</v>
      </c>
      <c r="N52">
        <v>2</v>
      </c>
      <c r="O52">
        <v>18.04</v>
      </c>
      <c r="P52">
        <v>3</v>
      </c>
      <c r="Q52" s="9">
        <f t="shared" si="3"/>
        <v>2.2889131715557789</v>
      </c>
    </row>
    <row r="53" spans="2:17" x14ac:dyDescent="0.3">
      <c r="B53" t="s">
        <v>11</v>
      </c>
      <c r="C53" t="s">
        <v>8</v>
      </c>
      <c r="D53" t="s">
        <v>9</v>
      </c>
      <c r="E53" t="s">
        <v>10</v>
      </c>
      <c r="F53">
        <v>2</v>
      </c>
      <c r="G53">
        <v>12.54</v>
      </c>
      <c r="H53">
        <v>2.5</v>
      </c>
      <c r="J53">
        <f t="shared" si="0"/>
        <v>1</v>
      </c>
      <c r="K53">
        <f t="shared" si="1"/>
        <v>1</v>
      </c>
      <c r="L53" cm="1">
        <f t="array" ref="L53">_xlfn.IFS(D53="Sat",1,D53="Sun",2,D53="Thur",3,D53="Fri",4)</f>
        <v>2</v>
      </c>
      <c r="M53">
        <f t="shared" si="2"/>
        <v>2</v>
      </c>
      <c r="N53">
        <v>2</v>
      </c>
      <c r="O53">
        <v>12.54</v>
      </c>
      <c r="P53">
        <v>2.5</v>
      </c>
      <c r="Q53" s="9">
        <f t="shared" si="3"/>
        <v>1.7715351146384013</v>
      </c>
    </row>
    <row r="54" spans="2:17" x14ac:dyDescent="0.3">
      <c r="B54" t="s">
        <v>7</v>
      </c>
      <c r="C54" t="s">
        <v>8</v>
      </c>
      <c r="D54" t="s">
        <v>9</v>
      </c>
      <c r="E54" t="s">
        <v>10</v>
      </c>
      <c r="F54">
        <v>2</v>
      </c>
      <c r="G54">
        <v>10.29</v>
      </c>
      <c r="H54">
        <v>2.6</v>
      </c>
      <c r="J54">
        <f t="shared" si="0"/>
        <v>2</v>
      </c>
      <c r="K54">
        <f t="shared" si="1"/>
        <v>1</v>
      </c>
      <c r="L54" cm="1">
        <f t="array" ref="L54">_xlfn.IFS(D54="Sat",1,D54="Sun",2,D54="Thur",3,D54="Fri",4)</f>
        <v>2</v>
      </c>
      <c r="M54">
        <f t="shared" si="2"/>
        <v>2</v>
      </c>
      <c r="N54">
        <v>2</v>
      </c>
      <c r="O54">
        <v>10.29</v>
      </c>
      <c r="P54">
        <v>2.6</v>
      </c>
      <c r="Q54" s="9">
        <f t="shared" si="3"/>
        <v>1.58821320358457</v>
      </c>
    </row>
    <row r="55" spans="2:17" x14ac:dyDescent="0.3">
      <c r="B55" t="s">
        <v>7</v>
      </c>
      <c r="C55" t="s">
        <v>8</v>
      </c>
      <c r="D55" t="s">
        <v>9</v>
      </c>
      <c r="E55" t="s">
        <v>10</v>
      </c>
      <c r="F55">
        <v>4</v>
      </c>
      <c r="G55">
        <v>34.81</v>
      </c>
      <c r="H55">
        <v>5.2</v>
      </c>
      <c r="J55">
        <f t="shared" si="0"/>
        <v>2</v>
      </c>
      <c r="K55">
        <f t="shared" si="1"/>
        <v>1</v>
      </c>
      <c r="L55" cm="1">
        <f t="array" ref="L55">_xlfn.IFS(D55="Sat",1,D55="Sun",2,D55="Thur",3,D55="Fri",4)</f>
        <v>2</v>
      </c>
      <c r="M55">
        <f t="shared" si="2"/>
        <v>2</v>
      </c>
      <c r="N55">
        <v>4</v>
      </c>
      <c r="O55">
        <v>34.81</v>
      </c>
      <c r="P55">
        <v>5.2</v>
      </c>
      <c r="Q55" s="9">
        <f t="shared" si="3"/>
        <v>4.2568222254471841</v>
      </c>
    </row>
    <row r="56" spans="2:17" x14ac:dyDescent="0.3">
      <c r="B56" t="s">
        <v>11</v>
      </c>
      <c r="C56" t="s">
        <v>8</v>
      </c>
      <c r="D56" t="s">
        <v>9</v>
      </c>
      <c r="E56" t="s">
        <v>10</v>
      </c>
      <c r="F56">
        <v>2</v>
      </c>
      <c r="G56">
        <v>9.94</v>
      </c>
      <c r="H56">
        <v>1.56</v>
      </c>
      <c r="J56">
        <f t="shared" si="0"/>
        <v>1</v>
      </c>
      <c r="K56">
        <f t="shared" si="1"/>
        <v>1</v>
      </c>
      <c r="L56" cm="1">
        <f t="array" ref="L56">_xlfn.IFS(D56="Sat",1,D56="Sun",2,D56="Thur",3,D56="Fri",4)</f>
        <v>2</v>
      </c>
      <c r="M56">
        <f t="shared" si="2"/>
        <v>2</v>
      </c>
      <c r="N56">
        <v>2</v>
      </c>
      <c r="O56">
        <v>9.94</v>
      </c>
      <c r="P56">
        <v>1.56</v>
      </c>
      <c r="Q56" s="9">
        <f t="shared" si="3"/>
        <v>1.5269563968229138</v>
      </c>
    </row>
    <row r="57" spans="2:17" x14ac:dyDescent="0.3">
      <c r="B57" t="s">
        <v>11</v>
      </c>
      <c r="C57" t="s">
        <v>8</v>
      </c>
      <c r="D57" t="s">
        <v>9</v>
      </c>
      <c r="E57" t="s">
        <v>10</v>
      </c>
      <c r="F57">
        <v>4</v>
      </c>
      <c r="G57">
        <v>25.56</v>
      </c>
      <c r="H57">
        <v>4.34</v>
      </c>
      <c r="J57">
        <f t="shared" si="0"/>
        <v>1</v>
      </c>
      <c r="K57">
        <f t="shared" si="1"/>
        <v>1</v>
      </c>
      <c r="L57" cm="1">
        <f t="array" ref="L57">_xlfn.IFS(D57="Sat",1,D57="Sun",2,D57="Thur",3,D57="Fri",4)</f>
        <v>2</v>
      </c>
      <c r="M57">
        <f t="shared" si="2"/>
        <v>2</v>
      </c>
      <c r="N57">
        <v>4</v>
      </c>
      <c r="O57">
        <v>25.56</v>
      </c>
      <c r="P57">
        <v>4.34</v>
      </c>
      <c r="Q57" s="9">
        <f t="shared" si="3"/>
        <v>3.3583536538555894</v>
      </c>
    </row>
    <row r="58" spans="2:17" x14ac:dyDescent="0.3">
      <c r="B58" t="s">
        <v>11</v>
      </c>
      <c r="C58" t="s">
        <v>8</v>
      </c>
      <c r="D58" t="s">
        <v>9</v>
      </c>
      <c r="E58" t="s">
        <v>10</v>
      </c>
      <c r="F58">
        <v>2</v>
      </c>
      <c r="G58">
        <v>19.489999999999998</v>
      </c>
      <c r="H58">
        <v>3.51</v>
      </c>
      <c r="J58">
        <f t="shared" si="0"/>
        <v>1</v>
      </c>
      <c r="K58">
        <f t="shared" si="1"/>
        <v>1</v>
      </c>
      <c r="L58" cm="1">
        <f t="array" ref="L58">_xlfn.IFS(D58="Sat",1,D58="Sun",2,D58="Thur",3,D58="Fri",4)</f>
        <v>2</v>
      </c>
      <c r="M58">
        <f t="shared" si="2"/>
        <v>2</v>
      </c>
      <c r="N58">
        <v>2</v>
      </c>
      <c r="O58">
        <v>19.489999999999998</v>
      </c>
      <c r="P58">
        <v>3.51</v>
      </c>
      <c r="Q58" s="9">
        <f t="shared" si="3"/>
        <v>2.4253128411067237</v>
      </c>
    </row>
    <row r="59" spans="2:17" x14ac:dyDescent="0.3">
      <c r="B59" t="s">
        <v>11</v>
      </c>
      <c r="C59" t="s">
        <v>22</v>
      </c>
      <c r="D59" t="s">
        <v>21</v>
      </c>
      <c r="E59" t="s">
        <v>10</v>
      </c>
      <c r="F59">
        <v>4</v>
      </c>
      <c r="G59">
        <v>38.01</v>
      </c>
      <c r="H59">
        <v>3</v>
      </c>
      <c r="J59">
        <f t="shared" si="0"/>
        <v>1</v>
      </c>
      <c r="K59">
        <f t="shared" si="1"/>
        <v>2</v>
      </c>
      <c r="L59" cm="1">
        <f t="array" ref="L59">_xlfn.IFS(D59="Sat",1,D59="Sun",2,D59="Thur",3,D59="Fri",4)</f>
        <v>1</v>
      </c>
      <c r="M59">
        <f t="shared" si="2"/>
        <v>2</v>
      </c>
      <c r="N59">
        <v>4</v>
      </c>
      <c r="O59">
        <v>38.01</v>
      </c>
      <c r="P59">
        <v>3</v>
      </c>
      <c r="Q59" s="9">
        <f t="shared" si="3"/>
        <v>4.3862312501165679</v>
      </c>
    </row>
    <row r="60" spans="2:17" x14ac:dyDescent="0.3">
      <c r="B60" t="s">
        <v>7</v>
      </c>
      <c r="C60" t="s">
        <v>8</v>
      </c>
      <c r="D60" t="s">
        <v>21</v>
      </c>
      <c r="E60" t="s">
        <v>10</v>
      </c>
      <c r="F60">
        <v>2</v>
      </c>
      <c r="G60">
        <v>26.41</v>
      </c>
      <c r="H60">
        <v>1.5</v>
      </c>
      <c r="J60">
        <f t="shared" si="0"/>
        <v>2</v>
      </c>
      <c r="K60">
        <f t="shared" si="1"/>
        <v>1</v>
      </c>
      <c r="L60" cm="1">
        <f t="array" ref="L60">_xlfn.IFS(D60="Sat",1,D60="Sun",2,D60="Thur",3,D60="Fri",4)</f>
        <v>1</v>
      </c>
      <c r="M60">
        <f t="shared" si="2"/>
        <v>2</v>
      </c>
      <c r="N60">
        <v>2</v>
      </c>
      <c r="O60">
        <v>26.41</v>
      </c>
      <c r="P60">
        <v>1.5</v>
      </c>
      <c r="Q60" s="9">
        <f t="shared" si="3"/>
        <v>3.0468546053884729</v>
      </c>
    </row>
    <row r="61" spans="2:17" x14ac:dyDescent="0.3">
      <c r="B61" t="s">
        <v>11</v>
      </c>
      <c r="C61" t="s">
        <v>22</v>
      </c>
      <c r="D61" t="s">
        <v>21</v>
      </c>
      <c r="E61" t="s">
        <v>10</v>
      </c>
      <c r="F61">
        <v>2</v>
      </c>
      <c r="G61">
        <v>11.24</v>
      </c>
      <c r="H61">
        <v>1.76</v>
      </c>
      <c r="J61">
        <f t="shared" si="0"/>
        <v>1</v>
      </c>
      <c r="K61">
        <f t="shared" si="1"/>
        <v>2</v>
      </c>
      <c r="L61" cm="1">
        <f t="array" ref="L61">_xlfn.IFS(D61="Sat",1,D61="Sun",2,D61="Thur",3,D61="Fri",4)</f>
        <v>1</v>
      </c>
      <c r="M61">
        <f t="shared" si="2"/>
        <v>2</v>
      </c>
      <c r="N61">
        <v>2</v>
      </c>
      <c r="O61">
        <v>11.24</v>
      </c>
      <c r="P61">
        <v>1.76</v>
      </c>
      <c r="Q61" s="9">
        <f t="shared" si="3"/>
        <v>1.5059675686059355</v>
      </c>
    </row>
    <row r="62" spans="2:17" x14ac:dyDescent="0.3">
      <c r="B62" t="s">
        <v>11</v>
      </c>
      <c r="C62" t="s">
        <v>8</v>
      </c>
      <c r="D62" t="s">
        <v>21</v>
      </c>
      <c r="E62" t="s">
        <v>10</v>
      </c>
      <c r="F62">
        <v>4</v>
      </c>
      <c r="G62">
        <v>48.27</v>
      </c>
      <c r="H62">
        <v>6.73</v>
      </c>
      <c r="J62">
        <f t="shared" si="0"/>
        <v>1</v>
      </c>
      <c r="K62">
        <f t="shared" si="1"/>
        <v>1</v>
      </c>
      <c r="L62" cm="1">
        <f t="array" ref="L62">_xlfn.IFS(D62="Sat",1,D62="Sun",2,D62="Thur",3,D62="Fri",4)</f>
        <v>1</v>
      </c>
      <c r="M62">
        <f t="shared" si="2"/>
        <v>2</v>
      </c>
      <c r="N62">
        <v>4</v>
      </c>
      <c r="O62">
        <v>48.27</v>
      </c>
      <c r="P62">
        <v>6.73</v>
      </c>
      <c r="Q62" s="9">
        <f t="shared" si="3"/>
        <v>5.4369080365841329</v>
      </c>
    </row>
    <row r="63" spans="2:17" x14ac:dyDescent="0.3">
      <c r="B63" t="s">
        <v>11</v>
      </c>
      <c r="C63" t="s">
        <v>22</v>
      </c>
      <c r="D63" t="s">
        <v>21</v>
      </c>
      <c r="E63" t="s">
        <v>10</v>
      </c>
      <c r="F63">
        <v>2</v>
      </c>
      <c r="G63">
        <v>20.29</v>
      </c>
      <c r="H63">
        <v>3.21</v>
      </c>
      <c r="J63">
        <f t="shared" si="0"/>
        <v>1</v>
      </c>
      <c r="K63">
        <f t="shared" si="1"/>
        <v>2</v>
      </c>
      <c r="L63" cm="1">
        <f t="array" ref="L63">_xlfn.IFS(D63="Sat",1,D63="Sun",2,D63="Thur",3,D63="Fri",4)</f>
        <v>1</v>
      </c>
      <c r="M63">
        <f t="shared" si="2"/>
        <v>2</v>
      </c>
      <c r="N63">
        <v>2</v>
      </c>
      <c r="O63">
        <v>20.29</v>
      </c>
      <c r="P63">
        <v>3.21</v>
      </c>
      <c r="Q63" s="9">
        <f t="shared" si="3"/>
        <v>2.3572896440790752</v>
      </c>
    </row>
    <row r="64" spans="2:17" x14ac:dyDescent="0.3">
      <c r="B64" t="s">
        <v>11</v>
      </c>
      <c r="C64" t="s">
        <v>22</v>
      </c>
      <c r="D64" t="s">
        <v>21</v>
      </c>
      <c r="E64" t="s">
        <v>10</v>
      </c>
      <c r="F64">
        <v>2</v>
      </c>
      <c r="G64">
        <v>13.81</v>
      </c>
      <c r="H64">
        <v>2</v>
      </c>
      <c r="J64">
        <f t="shared" si="0"/>
        <v>1</v>
      </c>
      <c r="K64">
        <f t="shared" si="1"/>
        <v>2</v>
      </c>
      <c r="L64" cm="1">
        <f t="array" ref="L64">_xlfn.IFS(D64="Sat",1,D64="Sun",2,D64="Thur",3,D64="Fri",4)</f>
        <v>1</v>
      </c>
      <c r="M64">
        <f t="shared" si="2"/>
        <v>2</v>
      </c>
      <c r="N64">
        <v>2</v>
      </c>
      <c r="O64">
        <v>13.81</v>
      </c>
      <c r="P64">
        <v>2</v>
      </c>
      <c r="Q64" s="9">
        <f t="shared" si="3"/>
        <v>1.7477242242927828</v>
      </c>
    </row>
    <row r="65" spans="2:17" x14ac:dyDescent="0.3">
      <c r="B65" t="s">
        <v>11</v>
      </c>
      <c r="C65" t="s">
        <v>22</v>
      </c>
      <c r="D65" t="s">
        <v>21</v>
      </c>
      <c r="E65" t="s">
        <v>10</v>
      </c>
      <c r="F65">
        <v>2</v>
      </c>
      <c r="G65">
        <v>11.02</v>
      </c>
      <c r="H65">
        <v>1.98</v>
      </c>
      <c r="J65">
        <f t="shared" si="0"/>
        <v>1</v>
      </c>
      <c r="K65">
        <f t="shared" si="1"/>
        <v>2</v>
      </c>
      <c r="L65" cm="1">
        <f t="array" ref="L65">_xlfn.IFS(D65="Sat",1,D65="Sun",2,D65="Thur",3,D65="Fri",4)</f>
        <v>1</v>
      </c>
      <c r="M65">
        <f t="shared" si="2"/>
        <v>2</v>
      </c>
      <c r="N65">
        <v>2</v>
      </c>
      <c r="O65">
        <v>11.02</v>
      </c>
      <c r="P65">
        <v>1.98</v>
      </c>
      <c r="Q65" s="9">
        <f t="shared" si="3"/>
        <v>1.4852724463292404</v>
      </c>
    </row>
    <row r="66" spans="2:17" x14ac:dyDescent="0.3">
      <c r="B66" t="s">
        <v>11</v>
      </c>
      <c r="C66" t="s">
        <v>22</v>
      </c>
      <c r="D66" t="s">
        <v>21</v>
      </c>
      <c r="E66" t="s">
        <v>10</v>
      </c>
      <c r="F66">
        <v>4</v>
      </c>
      <c r="G66">
        <v>18.29</v>
      </c>
      <c r="H66">
        <v>3.76</v>
      </c>
      <c r="J66">
        <f t="shared" si="0"/>
        <v>1</v>
      </c>
      <c r="K66">
        <f t="shared" si="1"/>
        <v>2</v>
      </c>
      <c r="L66" cm="1">
        <f t="array" ref="L66">_xlfn.IFS(D66="Sat",1,D66="Sun",2,D66="Thur",3,D66="Fri",4)</f>
        <v>1</v>
      </c>
      <c r="M66">
        <f t="shared" si="2"/>
        <v>2</v>
      </c>
      <c r="N66">
        <v>4</v>
      </c>
      <c r="O66">
        <v>18.29</v>
      </c>
      <c r="P66">
        <v>3.76</v>
      </c>
      <c r="Q66" s="9">
        <f t="shared" si="3"/>
        <v>2.5311957442237158</v>
      </c>
    </row>
    <row r="67" spans="2:17" x14ac:dyDescent="0.3">
      <c r="B67" t="s">
        <v>11</v>
      </c>
      <c r="C67" t="s">
        <v>8</v>
      </c>
      <c r="D67" t="s">
        <v>21</v>
      </c>
      <c r="E67" t="s">
        <v>10</v>
      </c>
      <c r="F67">
        <v>3</v>
      </c>
      <c r="G67">
        <v>17.59</v>
      </c>
      <c r="H67">
        <v>2.64</v>
      </c>
      <c r="J67">
        <f t="shared" si="0"/>
        <v>1</v>
      </c>
      <c r="K67">
        <f t="shared" si="1"/>
        <v>1</v>
      </c>
      <c r="L67" cm="1">
        <f t="array" ref="L67">_xlfn.IFS(D67="Sat",1,D67="Sun",2,D67="Thur",3,D67="Fri",4)</f>
        <v>1</v>
      </c>
      <c r="M67">
        <f t="shared" si="2"/>
        <v>2</v>
      </c>
      <c r="N67">
        <v>3</v>
      </c>
      <c r="O67">
        <v>17.59</v>
      </c>
      <c r="P67">
        <v>2.64</v>
      </c>
      <c r="Q67" s="9">
        <f t="shared" si="3"/>
        <v>2.3698573786677168</v>
      </c>
    </row>
    <row r="68" spans="2:17" x14ac:dyDescent="0.3">
      <c r="B68" t="s">
        <v>11</v>
      </c>
      <c r="C68" t="s">
        <v>8</v>
      </c>
      <c r="D68" t="s">
        <v>21</v>
      </c>
      <c r="E68" t="s">
        <v>10</v>
      </c>
      <c r="F68">
        <v>3</v>
      </c>
      <c r="G68">
        <v>20.079999999999998</v>
      </c>
      <c r="H68">
        <v>3.15</v>
      </c>
      <c r="J68">
        <f t="shared" ref="J68:J131" si="4">IF(B68 = "Female",2,1)</f>
        <v>1</v>
      </c>
      <c r="K68">
        <f t="shared" ref="K68:K131" si="5">IF(C68="No",1,2)</f>
        <v>1</v>
      </c>
      <c r="L68" cm="1">
        <f t="array" ref="L68">_xlfn.IFS(D68="Sat",1,D68="Sun",2,D68="Thur",3,D68="Fri",4)</f>
        <v>1</v>
      </c>
      <c r="M68">
        <f t="shared" ref="M68:M131" si="6">IF(E68="Lunch",1,2)</f>
        <v>2</v>
      </c>
      <c r="N68">
        <v>3</v>
      </c>
      <c r="O68">
        <v>20.079999999999998</v>
      </c>
      <c r="P68">
        <v>3.15</v>
      </c>
      <c r="Q68" s="9">
        <f t="shared" ref="Q68:Q131" si="7">J68*$T$4+K68*$T$5+L68*$T$6+M68*$T$7+N68*$T$8+O68*$T$9</f>
        <v>2.6040885353448564</v>
      </c>
    </row>
    <row r="69" spans="2:17" x14ac:dyDescent="0.3">
      <c r="B69" t="s">
        <v>7</v>
      </c>
      <c r="C69" t="s">
        <v>8</v>
      </c>
      <c r="D69" t="s">
        <v>21</v>
      </c>
      <c r="E69" t="s">
        <v>10</v>
      </c>
      <c r="F69">
        <v>2</v>
      </c>
      <c r="G69">
        <v>16.45</v>
      </c>
      <c r="H69">
        <v>2.4700000000000002</v>
      </c>
      <c r="J69">
        <f t="shared" si="4"/>
        <v>2</v>
      </c>
      <c r="K69">
        <f t="shared" si="5"/>
        <v>1</v>
      </c>
      <c r="L69" cm="1">
        <f t="array" ref="L69">_xlfn.IFS(D69="Sat",1,D69="Sun",2,D69="Thur",3,D69="Fri",4)</f>
        <v>1</v>
      </c>
      <c r="M69">
        <f t="shared" si="6"/>
        <v>2</v>
      </c>
      <c r="N69">
        <v>2</v>
      </c>
      <c r="O69">
        <v>16.45</v>
      </c>
      <c r="P69">
        <v>2.4700000000000002</v>
      </c>
      <c r="Q69" s="9">
        <f t="shared" si="7"/>
        <v>2.1099299786799124</v>
      </c>
    </row>
    <row r="70" spans="2:17" x14ac:dyDescent="0.3">
      <c r="B70" t="s">
        <v>7</v>
      </c>
      <c r="C70" t="s">
        <v>22</v>
      </c>
      <c r="D70" t="s">
        <v>21</v>
      </c>
      <c r="E70" t="s">
        <v>10</v>
      </c>
      <c r="F70">
        <v>1</v>
      </c>
      <c r="G70">
        <v>3.07</v>
      </c>
      <c r="H70">
        <v>1</v>
      </c>
      <c r="J70">
        <f t="shared" si="4"/>
        <v>2</v>
      </c>
      <c r="K70">
        <f t="shared" si="5"/>
        <v>2</v>
      </c>
      <c r="L70" cm="1">
        <f t="array" ref="L70">_xlfn.IFS(D70="Sat",1,D70="Sun",2,D70="Thur",3,D70="Fri",4)</f>
        <v>1</v>
      </c>
      <c r="M70">
        <f t="shared" si="6"/>
        <v>2</v>
      </c>
      <c r="N70">
        <v>1</v>
      </c>
      <c r="O70">
        <v>3.07</v>
      </c>
      <c r="P70">
        <v>1</v>
      </c>
      <c r="Q70" s="9">
        <f t="shared" si="7"/>
        <v>0.58473694314010138</v>
      </c>
    </row>
    <row r="71" spans="2:17" x14ac:dyDescent="0.3">
      <c r="B71" t="s">
        <v>11</v>
      </c>
      <c r="C71" t="s">
        <v>8</v>
      </c>
      <c r="D71" t="s">
        <v>21</v>
      </c>
      <c r="E71" t="s">
        <v>10</v>
      </c>
      <c r="F71">
        <v>2</v>
      </c>
      <c r="G71">
        <v>20.23</v>
      </c>
      <c r="H71">
        <v>2.0099999999999998</v>
      </c>
      <c r="J71">
        <f t="shared" si="4"/>
        <v>1</v>
      </c>
      <c r="K71">
        <f t="shared" si="5"/>
        <v>1</v>
      </c>
      <c r="L71" cm="1">
        <f t="array" ref="L71">_xlfn.IFS(D71="Sat",1,D71="Sun",2,D71="Thur",3,D71="Fri",4)</f>
        <v>1</v>
      </c>
      <c r="M71">
        <f t="shared" si="6"/>
        <v>2</v>
      </c>
      <c r="N71">
        <v>2</v>
      </c>
      <c r="O71">
        <v>20.23</v>
      </c>
      <c r="P71">
        <v>2.0099999999999998</v>
      </c>
      <c r="Q71" s="9">
        <f t="shared" si="7"/>
        <v>2.4371770582943961</v>
      </c>
    </row>
    <row r="72" spans="2:17" x14ac:dyDescent="0.3">
      <c r="B72" t="s">
        <v>11</v>
      </c>
      <c r="C72" t="s">
        <v>22</v>
      </c>
      <c r="D72" t="s">
        <v>21</v>
      </c>
      <c r="E72" t="s">
        <v>10</v>
      </c>
      <c r="F72">
        <v>2</v>
      </c>
      <c r="G72">
        <v>15.01</v>
      </c>
      <c r="H72">
        <v>2.09</v>
      </c>
      <c r="J72">
        <f t="shared" si="4"/>
        <v>1</v>
      </c>
      <c r="K72">
        <f t="shared" si="5"/>
        <v>2</v>
      </c>
      <c r="L72" cm="1">
        <f t="array" ref="L72">_xlfn.IFS(D72="Sat",1,D72="Sun",2,D72="Thur",3,D72="Fri",4)</f>
        <v>1</v>
      </c>
      <c r="M72">
        <f t="shared" si="6"/>
        <v>2</v>
      </c>
      <c r="N72">
        <v>2</v>
      </c>
      <c r="O72">
        <v>15.01</v>
      </c>
      <c r="P72">
        <v>2.09</v>
      </c>
      <c r="Q72" s="9">
        <f t="shared" si="7"/>
        <v>1.8606067094383925</v>
      </c>
    </row>
    <row r="73" spans="2:17" x14ac:dyDescent="0.3">
      <c r="B73" t="s">
        <v>11</v>
      </c>
      <c r="C73" t="s">
        <v>8</v>
      </c>
      <c r="D73" t="s">
        <v>21</v>
      </c>
      <c r="E73" t="s">
        <v>10</v>
      </c>
      <c r="F73">
        <v>2</v>
      </c>
      <c r="G73">
        <v>12.02</v>
      </c>
      <c r="H73">
        <v>1.97</v>
      </c>
      <c r="J73">
        <f t="shared" si="4"/>
        <v>1</v>
      </c>
      <c r="K73">
        <f t="shared" si="5"/>
        <v>1</v>
      </c>
      <c r="L73" cm="1">
        <f t="array" ref="L73">_xlfn.IFS(D73="Sat",1,D73="Sun",2,D73="Thur",3,D73="Fri",4)</f>
        <v>1</v>
      </c>
      <c r="M73">
        <f t="shared" si="6"/>
        <v>2</v>
      </c>
      <c r="N73">
        <v>2</v>
      </c>
      <c r="O73">
        <v>12.02</v>
      </c>
      <c r="P73">
        <v>1.97</v>
      </c>
      <c r="Q73" s="9">
        <f t="shared" si="7"/>
        <v>1.6648727224231836</v>
      </c>
    </row>
    <row r="74" spans="2:17" x14ac:dyDescent="0.3">
      <c r="B74" t="s">
        <v>7</v>
      </c>
      <c r="C74" t="s">
        <v>8</v>
      </c>
      <c r="D74" t="s">
        <v>21</v>
      </c>
      <c r="E74" t="s">
        <v>10</v>
      </c>
      <c r="F74">
        <v>3</v>
      </c>
      <c r="G74">
        <v>17.07</v>
      </c>
      <c r="H74">
        <v>3</v>
      </c>
      <c r="J74">
        <f t="shared" si="4"/>
        <v>2</v>
      </c>
      <c r="K74">
        <f t="shared" si="5"/>
        <v>1</v>
      </c>
      <c r="L74" cm="1">
        <f t="array" ref="L74">_xlfn.IFS(D74="Sat",1,D74="Sun",2,D74="Thur",3,D74="Fri",4)</f>
        <v>1</v>
      </c>
      <c r="M74">
        <f t="shared" si="6"/>
        <v>2</v>
      </c>
      <c r="N74">
        <v>3</v>
      </c>
      <c r="O74">
        <v>17.07</v>
      </c>
      <c r="P74">
        <v>3</v>
      </c>
      <c r="Q74" s="9">
        <f t="shared" si="7"/>
        <v>2.3492743836988059</v>
      </c>
    </row>
    <row r="75" spans="2:17" x14ac:dyDescent="0.3">
      <c r="B75" t="s">
        <v>7</v>
      </c>
      <c r="C75" t="s">
        <v>22</v>
      </c>
      <c r="D75" t="s">
        <v>21</v>
      </c>
      <c r="E75" t="s">
        <v>10</v>
      </c>
      <c r="F75">
        <v>2</v>
      </c>
      <c r="G75">
        <v>26.86</v>
      </c>
      <c r="H75">
        <v>3.14</v>
      </c>
      <c r="J75">
        <f t="shared" si="4"/>
        <v>2</v>
      </c>
      <c r="K75">
        <f t="shared" si="5"/>
        <v>2</v>
      </c>
      <c r="L75" cm="1">
        <f t="array" ref="L75">_xlfn.IFS(D75="Sat",1,D75="Sun",2,D75="Thur",3,D75="Fri",4)</f>
        <v>1</v>
      </c>
      <c r="M75">
        <f t="shared" si="6"/>
        <v>2</v>
      </c>
      <c r="N75">
        <v>2</v>
      </c>
      <c r="O75">
        <v>26.86</v>
      </c>
      <c r="P75">
        <v>3.14</v>
      </c>
      <c r="Q75" s="9">
        <f t="shared" si="7"/>
        <v>3.0036539988454747</v>
      </c>
    </row>
    <row r="76" spans="2:17" x14ac:dyDescent="0.3">
      <c r="B76" t="s">
        <v>7</v>
      </c>
      <c r="C76" t="s">
        <v>22</v>
      </c>
      <c r="D76" t="s">
        <v>21</v>
      </c>
      <c r="E76" t="s">
        <v>10</v>
      </c>
      <c r="F76">
        <v>2</v>
      </c>
      <c r="G76">
        <v>25.28</v>
      </c>
      <c r="H76">
        <v>5</v>
      </c>
      <c r="J76">
        <f t="shared" si="4"/>
        <v>2</v>
      </c>
      <c r="K76">
        <f t="shared" si="5"/>
        <v>2</v>
      </c>
      <c r="L76" cm="1">
        <f t="array" ref="L76">_xlfn.IFS(D76="Sat",1,D76="Sun",2,D76="Thur",3,D76="Fri",4)</f>
        <v>1</v>
      </c>
      <c r="M76">
        <f t="shared" si="6"/>
        <v>2</v>
      </c>
      <c r="N76">
        <v>2</v>
      </c>
      <c r="O76">
        <v>25.28</v>
      </c>
      <c r="P76">
        <v>5</v>
      </c>
      <c r="Q76" s="9">
        <f t="shared" si="7"/>
        <v>2.8550253934037553</v>
      </c>
    </row>
    <row r="77" spans="2:17" x14ac:dyDescent="0.3">
      <c r="B77" t="s">
        <v>7</v>
      </c>
      <c r="C77" t="s">
        <v>8</v>
      </c>
      <c r="D77" t="s">
        <v>21</v>
      </c>
      <c r="E77" t="s">
        <v>10</v>
      </c>
      <c r="F77">
        <v>2</v>
      </c>
      <c r="G77">
        <v>14.73</v>
      </c>
      <c r="H77">
        <v>2.2000000000000002</v>
      </c>
      <c r="J77">
        <f t="shared" si="4"/>
        <v>2</v>
      </c>
      <c r="K77">
        <f t="shared" si="5"/>
        <v>1</v>
      </c>
      <c r="L77" cm="1">
        <f t="array" ref="L77">_xlfn.IFS(D77="Sat",1,D77="Sun",2,D77="Thur",3,D77="Fri",4)</f>
        <v>1</v>
      </c>
      <c r="M77">
        <f t="shared" si="6"/>
        <v>2</v>
      </c>
      <c r="N77">
        <v>2</v>
      </c>
      <c r="O77">
        <v>14.73</v>
      </c>
      <c r="P77">
        <v>2.2000000000000002</v>
      </c>
      <c r="Q77" s="9">
        <f t="shared" si="7"/>
        <v>1.9481317499712054</v>
      </c>
    </row>
    <row r="78" spans="2:17" x14ac:dyDescent="0.3">
      <c r="B78" t="s">
        <v>11</v>
      </c>
      <c r="C78" t="s">
        <v>8</v>
      </c>
      <c r="D78" t="s">
        <v>21</v>
      </c>
      <c r="E78" t="s">
        <v>10</v>
      </c>
      <c r="F78">
        <v>2</v>
      </c>
      <c r="G78">
        <v>10.51</v>
      </c>
      <c r="H78">
        <v>1.25</v>
      </c>
      <c r="J78">
        <f t="shared" si="4"/>
        <v>1</v>
      </c>
      <c r="K78">
        <f t="shared" si="5"/>
        <v>1</v>
      </c>
      <c r="L78" cm="1">
        <f t="array" ref="L78">_xlfn.IFS(D78="Sat",1,D78="Sun",2,D78="Thur",3,D78="Fri",4)</f>
        <v>1</v>
      </c>
      <c r="M78">
        <f t="shared" si="6"/>
        <v>2</v>
      </c>
      <c r="N78">
        <v>2</v>
      </c>
      <c r="O78">
        <v>10.51</v>
      </c>
      <c r="P78">
        <v>1.25</v>
      </c>
      <c r="Q78" s="9">
        <f t="shared" si="7"/>
        <v>1.5228289286149581</v>
      </c>
    </row>
    <row r="79" spans="2:17" x14ac:dyDescent="0.3">
      <c r="B79" t="s">
        <v>11</v>
      </c>
      <c r="C79" t="s">
        <v>22</v>
      </c>
      <c r="D79" t="s">
        <v>21</v>
      </c>
      <c r="E79" t="s">
        <v>10</v>
      </c>
      <c r="F79">
        <v>2</v>
      </c>
      <c r="G79">
        <v>17.920000000000002</v>
      </c>
      <c r="H79">
        <v>3.08</v>
      </c>
      <c r="J79">
        <f t="shared" si="4"/>
        <v>1</v>
      </c>
      <c r="K79">
        <f t="shared" si="5"/>
        <v>2</v>
      </c>
      <c r="L79" cm="1">
        <f t="array" ref="L79">_xlfn.IFS(D79="Sat",1,D79="Sun",2,D79="Thur",3,D79="Fri",4)</f>
        <v>1</v>
      </c>
      <c r="M79">
        <f t="shared" si="6"/>
        <v>2</v>
      </c>
      <c r="N79">
        <v>2</v>
      </c>
      <c r="O79">
        <v>17.920000000000002</v>
      </c>
      <c r="P79">
        <v>3.08</v>
      </c>
      <c r="Q79" s="9">
        <f t="shared" si="7"/>
        <v>2.134346735916496</v>
      </c>
    </row>
    <row r="80" spans="2:17" x14ac:dyDescent="0.3">
      <c r="B80" t="s">
        <v>11</v>
      </c>
      <c r="C80" t="s">
        <v>8</v>
      </c>
      <c r="D80" t="s">
        <v>23</v>
      </c>
      <c r="E80" t="s">
        <v>24</v>
      </c>
      <c r="F80">
        <v>4</v>
      </c>
      <c r="G80">
        <v>27.2</v>
      </c>
      <c r="H80">
        <v>4</v>
      </c>
      <c r="J80">
        <f t="shared" si="4"/>
        <v>1</v>
      </c>
      <c r="K80">
        <f t="shared" si="5"/>
        <v>1</v>
      </c>
      <c r="L80" cm="1">
        <f t="array" ref="L80">_xlfn.IFS(D80="Sat",1,D80="Sun",2,D80="Thur",3,D80="Fri",4)</f>
        <v>3</v>
      </c>
      <c r="M80">
        <f t="shared" si="6"/>
        <v>1</v>
      </c>
      <c r="N80">
        <v>4</v>
      </c>
      <c r="O80">
        <v>27.2</v>
      </c>
      <c r="P80">
        <v>4</v>
      </c>
      <c r="Q80" s="9">
        <f t="shared" si="7"/>
        <v>3.4845855011798941</v>
      </c>
    </row>
    <row r="81" spans="2:17" x14ac:dyDescent="0.3">
      <c r="B81" t="s">
        <v>11</v>
      </c>
      <c r="C81" t="s">
        <v>8</v>
      </c>
      <c r="D81" t="s">
        <v>23</v>
      </c>
      <c r="E81" t="s">
        <v>24</v>
      </c>
      <c r="F81">
        <v>2</v>
      </c>
      <c r="G81">
        <v>22.76</v>
      </c>
      <c r="H81">
        <v>3</v>
      </c>
      <c r="J81">
        <f t="shared" si="4"/>
        <v>1</v>
      </c>
      <c r="K81">
        <f t="shared" si="5"/>
        <v>1</v>
      </c>
      <c r="L81" cm="1">
        <f t="array" ref="L81">_xlfn.IFS(D81="Sat",1,D81="Sun",2,D81="Thur",3,D81="Fri",4)</f>
        <v>3</v>
      </c>
      <c r="M81">
        <f t="shared" si="6"/>
        <v>1</v>
      </c>
      <c r="N81">
        <v>2</v>
      </c>
      <c r="O81">
        <v>22.76</v>
      </c>
      <c r="P81">
        <v>3</v>
      </c>
      <c r="Q81" s="9">
        <f t="shared" si="7"/>
        <v>2.7048767307538153</v>
      </c>
    </row>
    <row r="82" spans="2:17" x14ac:dyDescent="0.3">
      <c r="B82" t="s">
        <v>11</v>
      </c>
      <c r="C82" t="s">
        <v>8</v>
      </c>
      <c r="D82" t="s">
        <v>23</v>
      </c>
      <c r="E82" t="s">
        <v>24</v>
      </c>
      <c r="F82">
        <v>2</v>
      </c>
      <c r="G82">
        <v>17.29</v>
      </c>
      <c r="H82">
        <v>2.71</v>
      </c>
      <c r="J82">
        <f t="shared" si="4"/>
        <v>1</v>
      </c>
      <c r="K82">
        <f t="shared" si="5"/>
        <v>1</v>
      </c>
      <c r="L82" cm="1">
        <f t="array" ref="L82">_xlfn.IFS(D82="Sat",1,D82="Sun",2,D82="Thur",3,D82="Fri",4)</f>
        <v>3</v>
      </c>
      <c r="M82">
        <f t="shared" si="6"/>
        <v>1</v>
      </c>
      <c r="N82">
        <v>2</v>
      </c>
      <c r="O82">
        <v>17.29</v>
      </c>
      <c r="P82">
        <v>2.71</v>
      </c>
      <c r="Q82" s="9">
        <f t="shared" si="7"/>
        <v>2.1903207359650776</v>
      </c>
    </row>
    <row r="83" spans="2:17" x14ac:dyDescent="0.3">
      <c r="B83" t="s">
        <v>11</v>
      </c>
      <c r="C83" t="s">
        <v>22</v>
      </c>
      <c r="D83" t="s">
        <v>23</v>
      </c>
      <c r="E83" t="s">
        <v>24</v>
      </c>
      <c r="F83">
        <v>2</v>
      </c>
      <c r="G83">
        <v>19.440000000000001</v>
      </c>
      <c r="H83">
        <v>3</v>
      </c>
      <c r="J83">
        <f t="shared" si="4"/>
        <v>1</v>
      </c>
      <c r="K83">
        <f t="shared" si="5"/>
        <v>2</v>
      </c>
      <c r="L83" cm="1">
        <f t="array" ref="L83">_xlfn.IFS(D83="Sat",1,D83="Sun",2,D83="Thur",3,D83="Fri",4)</f>
        <v>3</v>
      </c>
      <c r="M83">
        <f t="shared" si="6"/>
        <v>1</v>
      </c>
      <c r="N83">
        <v>2</v>
      </c>
      <c r="O83">
        <v>19.440000000000001</v>
      </c>
      <c r="P83">
        <v>3</v>
      </c>
      <c r="Q83" s="9">
        <f t="shared" si="7"/>
        <v>2.3070369833783602</v>
      </c>
    </row>
    <row r="84" spans="2:17" x14ac:dyDescent="0.3">
      <c r="B84" t="s">
        <v>11</v>
      </c>
      <c r="C84" t="s">
        <v>8</v>
      </c>
      <c r="D84" t="s">
        <v>23</v>
      </c>
      <c r="E84" t="s">
        <v>24</v>
      </c>
      <c r="F84">
        <v>2</v>
      </c>
      <c r="G84">
        <v>16.66</v>
      </c>
      <c r="H84">
        <v>3.4</v>
      </c>
      <c r="J84">
        <f t="shared" si="4"/>
        <v>1</v>
      </c>
      <c r="K84">
        <f t="shared" si="5"/>
        <v>1</v>
      </c>
      <c r="L84" cm="1">
        <f t="array" ref="L84">_xlfn.IFS(D84="Sat",1,D84="Sun",2,D84="Thur",3,D84="Fri",4)</f>
        <v>3</v>
      </c>
      <c r="M84">
        <f t="shared" si="6"/>
        <v>1</v>
      </c>
      <c r="N84">
        <v>2</v>
      </c>
      <c r="O84">
        <v>16.66</v>
      </c>
      <c r="P84">
        <v>3.4</v>
      </c>
      <c r="Q84" s="9">
        <f t="shared" si="7"/>
        <v>2.1310574312636326</v>
      </c>
    </row>
    <row r="85" spans="2:17" x14ac:dyDescent="0.3">
      <c r="B85" t="s">
        <v>7</v>
      </c>
      <c r="C85" t="s">
        <v>8</v>
      </c>
      <c r="D85" t="s">
        <v>23</v>
      </c>
      <c r="E85" t="s">
        <v>24</v>
      </c>
      <c r="F85">
        <v>1</v>
      </c>
      <c r="G85">
        <v>10.07</v>
      </c>
      <c r="H85">
        <v>1.83</v>
      </c>
      <c r="J85">
        <f t="shared" si="4"/>
        <v>2</v>
      </c>
      <c r="K85">
        <f t="shared" si="5"/>
        <v>1</v>
      </c>
      <c r="L85" cm="1">
        <f t="array" ref="L85">_xlfn.IFS(D85="Sat",1,D85="Sun",2,D85="Thur",3,D85="Fri",4)</f>
        <v>3</v>
      </c>
      <c r="M85">
        <f t="shared" si="6"/>
        <v>1</v>
      </c>
      <c r="N85">
        <v>1</v>
      </c>
      <c r="O85">
        <v>10.07</v>
      </c>
      <c r="P85">
        <v>1.83</v>
      </c>
      <c r="Q85" s="9">
        <f t="shared" si="7"/>
        <v>1.358455411239518</v>
      </c>
    </row>
    <row r="86" spans="2:17" x14ac:dyDescent="0.3">
      <c r="B86" t="s">
        <v>11</v>
      </c>
      <c r="C86" t="s">
        <v>22</v>
      </c>
      <c r="D86" t="s">
        <v>23</v>
      </c>
      <c r="E86" t="s">
        <v>24</v>
      </c>
      <c r="F86">
        <v>2</v>
      </c>
      <c r="G86">
        <v>32.68</v>
      </c>
      <c r="H86">
        <v>5</v>
      </c>
      <c r="J86">
        <f t="shared" si="4"/>
        <v>1</v>
      </c>
      <c r="K86">
        <f t="shared" si="5"/>
        <v>2</v>
      </c>
      <c r="L86" cm="1">
        <f t="array" ref="L86">_xlfn.IFS(D86="Sat",1,D86="Sun",2,D86="Thur",3,D86="Fri",4)</f>
        <v>3</v>
      </c>
      <c r="M86">
        <f t="shared" si="6"/>
        <v>1</v>
      </c>
      <c r="N86">
        <v>2</v>
      </c>
      <c r="O86">
        <v>32.68</v>
      </c>
      <c r="P86">
        <v>5</v>
      </c>
      <c r="Q86" s="9">
        <f t="shared" si="7"/>
        <v>3.5525070694849195</v>
      </c>
    </row>
    <row r="87" spans="2:17" x14ac:dyDescent="0.3">
      <c r="B87" t="s">
        <v>11</v>
      </c>
      <c r="C87" t="s">
        <v>8</v>
      </c>
      <c r="D87" t="s">
        <v>23</v>
      </c>
      <c r="E87" t="s">
        <v>24</v>
      </c>
      <c r="F87">
        <v>2</v>
      </c>
      <c r="G87">
        <v>15.98</v>
      </c>
      <c r="H87">
        <v>2.0299999999999998</v>
      </c>
      <c r="J87">
        <f t="shared" si="4"/>
        <v>1</v>
      </c>
      <c r="K87">
        <f t="shared" si="5"/>
        <v>1</v>
      </c>
      <c r="L87" cm="1">
        <f t="array" ref="L87">_xlfn.IFS(D87="Sat",1,D87="Sun",2,D87="Thur",3,D87="Fri",4)</f>
        <v>3</v>
      </c>
      <c r="M87">
        <f t="shared" si="6"/>
        <v>1</v>
      </c>
      <c r="N87">
        <v>2</v>
      </c>
      <c r="O87">
        <v>15.98</v>
      </c>
      <c r="P87">
        <v>2.0299999999999998</v>
      </c>
      <c r="Q87" s="9">
        <f t="shared" si="7"/>
        <v>2.0670906896811205</v>
      </c>
    </row>
    <row r="88" spans="2:17" x14ac:dyDescent="0.3">
      <c r="B88" t="s">
        <v>7</v>
      </c>
      <c r="C88" t="s">
        <v>8</v>
      </c>
      <c r="D88" t="s">
        <v>23</v>
      </c>
      <c r="E88" t="s">
        <v>24</v>
      </c>
      <c r="F88">
        <v>4</v>
      </c>
      <c r="G88">
        <v>34.83</v>
      </c>
      <c r="H88">
        <v>5.17</v>
      </c>
      <c r="J88">
        <f t="shared" si="4"/>
        <v>2</v>
      </c>
      <c r="K88">
        <f t="shared" si="5"/>
        <v>1</v>
      </c>
      <c r="L88" cm="1">
        <f t="array" ref="L88">_xlfn.IFS(D88="Sat",1,D88="Sun",2,D88="Thur",3,D88="Fri",4)</f>
        <v>3</v>
      </c>
      <c r="M88">
        <f t="shared" si="6"/>
        <v>1</v>
      </c>
      <c r="N88">
        <v>4</v>
      </c>
      <c r="O88">
        <v>34.83</v>
      </c>
      <c r="P88">
        <v>5.17</v>
      </c>
      <c r="Q88" s="9">
        <f t="shared" si="7"/>
        <v>4.2306627178249157</v>
      </c>
    </row>
    <row r="89" spans="2:17" x14ac:dyDescent="0.3">
      <c r="B89" t="s">
        <v>11</v>
      </c>
      <c r="C89" t="s">
        <v>8</v>
      </c>
      <c r="D89" t="s">
        <v>23</v>
      </c>
      <c r="E89" t="s">
        <v>24</v>
      </c>
      <c r="F89">
        <v>2</v>
      </c>
      <c r="G89">
        <v>13.03</v>
      </c>
      <c r="H89">
        <v>2</v>
      </c>
      <c r="J89">
        <f t="shared" si="4"/>
        <v>1</v>
      </c>
      <c r="K89">
        <f t="shared" si="5"/>
        <v>1</v>
      </c>
      <c r="L89" cm="1">
        <f t="array" ref="L89">_xlfn.IFS(D89="Sat",1,D89="Sun",2,D89="Thur",3,D89="Fri",4)</f>
        <v>3</v>
      </c>
      <c r="M89">
        <f t="shared" si="6"/>
        <v>1</v>
      </c>
      <c r="N89">
        <v>2</v>
      </c>
      <c r="O89">
        <v>13.03</v>
      </c>
      <c r="P89">
        <v>2</v>
      </c>
      <c r="Q89" s="9">
        <f t="shared" si="7"/>
        <v>1.7895879136981634</v>
      </c>
    </row>
    <row r="90" spans="2:17" x14ac:dyDescent="0.3">
      <c r="B90" t="s">
        <v>11</v>
      </c>
      <c r="C90" t="s">
        <v>8</v>
      </c>
      <c r="D90" t="s">
        <v>23</v>
      </c>
      <c r="E90" t="s">
        <v>24</v>
      </c>
      <c r="F90">
        <v>2</v>
      </c>
      <c r="G90">
        <v>18.28</v>
      </c>
      <c r="H90">
        <v>4</v>
      </c>
      <c r="J90">
        <f t="shared" si="4"/>
        <v>1</v>
      </c>
      <c r="K90">
        <f t="shared" si="5"/>
        <v>1</v>
      </c>
      <c r="L90" cm="1">
        <f t="array" ref="L90">_xlfn.IFS(D90="Sat",1,D90="Sun",2,D90="Thur",3,D90="Fri",4)</f>
        <v>3</v>
      </c>
      <c r="M90">
        <f t="shared" si="6"/>
        <v>1</v>
      </c>
      <c r="N90">
        <v>2</v>
      </c>
      <c r="O90">
        <v>18.28</v>
      </c>
      <c r="P90">
        <v>4</v>
      </c>
      <c r="Q90" s="9">
        <f t="shared" si="7"/>
        <v>2.2834487862102057</v>
      </c>
    </row>
    <row r="91" spans="2:17" x14ac:dyDescent="0.3">
      <c r="B91" t="s">
        <v>11</v>
      </c>
      <c r="C91" t="s">
        <v>8</v>
      </c>
      <c r="D91" t="s">
        <v>23</v>
      </c>
      <c r="E91" t="s">
        <v>24</v>
      </c>
      <c r="F91">
        <v>2</v>
      </c>
      <c r="G91">
        <v>24.71</v>
      </c>
      <c r="H91">
        <v>5.85</v>
      </c>
      <c r="J91">
        <f t="shared" si="4"/>
        <v>1</v>
      </c>
      <c r="K91">
        <f t="shared" si="5"/>
        <v>1</v>
      </c>
      <c r="L91" cm="1">
        <f t="array" ref="L91">_xlfn.IFS(D91="Sat",1,D91="Sun",2,D91="Thur",3,D91="Fri",4)</f>
        <v>3</v>
      </c>
      <c r="M91">
        <f t="shared" si="6"/>
        <v>1</v>
      </c>
      <c r="N91">
        <v>2</v>
      </c>
      <c r="O91">
        <v>24.71</v>
      </c>
      <c r="P91">
        <v>5.85</v>
      </c>
      <c r="Q91" s="9">
        <f t="shared" si="7"/>
        <v>2.8883107691154311</v>
      </c>
    </row>
    <row r="92" spans="2:17" x14ac:dyDescent="0.3">
      <c r="B92" t="s">
        <v>11</v>
      </c>
      <c r="C92" t="s">
        <v>8</v>
      </c>
      <c r="D92" t="s">
        <v>23</v>
      </c>
      <c r="E92" t="s">
        <v>24</v>
      </c>
      <c r="F92">
        <v>2</v>
      </c>
      <c r="G92">
        <v>21.16</v>
      </c>
      <c r="H92">
        <v>3</v>
      </c>
      <c r="J92">
        <f t="shared" si="4"/>
        <v>1</v>
      </c>
      <c r="K92">
        <f t="shared" si="5"/>
        <v>1</v>
      </c>
      <c r="L92" cm="1">
        <f t="array" ref="L92">_xlfn.IFS(D92="Sat",1,D92="Sun",2,D92="Thur",3,D92="Fri",4)</f>
        <v>3</v>
      </c>
      <c r="M92">
        <f t="shared" si="6"/>
        <v>1</v>
      </c>
      <c r="N92">
        <v>2</v>
      </c>
      <c r="O92">
        <v>21.16</v>
      </c>
      <c r="P92">
        <v>3</v>
      </c>
      <c r="Q92" s="9">
        <f t="shared" si="7"/>
        <v>2.554366750559669</v>
      </c>
    </row>
    <row r="93" spans="2:17" x14ac:dyDescent="0.3">
      <c r="B93" t="s">
        <v>11</v>
      </c>
      <c r="C93" t="s">
        <v>22</v>
      </c>
      <c r="D93" t="s">
        <v>25</v>
      </c>
      <c r="E93" t="s">
        <v>10</v>
      </c>
      <c r="F93">
        <v>2</v>
      </c>
      <c r="G93">
        <v>28.97</v>
      </c>
      <c r="H93">
        <v>3</v>
      </c>
      <c r="J93">
        <f t="shared" si="4"/>
        <v>1</v>
      </c>
      <c r="K93">
        <f t="shared" si="5"/>
        <v>2</v>
      </c>
      <c r="L93" cm="1">
        <f t="array" ref="L93">_xlfn.IFS(D93="Sat",1,D93="Sun",2,D93="Thur",3,D93="Fri",4)</f>
        <v>4</v>
      </c>
      <c r="M93">
        <f t="shared" si="6"/>
        <v>2</v>
      </c>
      <c r="N93">
        <v>2</v>
      </c>
      <c r="O93">
        <v>28.97</v>
      </c>
      <c r="P93">
        <v>3</v>
      </c>
      <c r="Q93" s="9">
        <f t="shared" si="7"/>
        <v>3.3470462325886787</v>
      </c>
    </row>
    <row r="94" spans="2:17" x14ac:dyDescent="0.3">
      <c r="B94" t="s">
        <v>11</v>
      </c>
      <c r="C94" t="s">
        <v>8</v>
      </c>
      <c r="D94" t="s">
        <v>25</v>
      </c>
      <c r="E94" t="s">
        <v>10</v>
      </c>
      <c r="F94">
        <v>2</v>
      </c>
      <c r="G94">
        <v>22.49</v>
      </c>
      <c r="H94">
        <v>3.5</v>
      </c>
      <c r="J94">
        <f t="shared" si="4"/>
        <v>1</v>
      </c>
      <c r="K94">
        <f t="shared" si="5"/>
        <v>1</v>
      </c>
      <c r="L94" cm="1">
        <f t="array" ref="L94">_xlfn.IFS(D94="Sat",1,D94="Sun",2,D94="Thur",3,D94="Fri",4)</f>
        <v>4</v>
      </c>
      <c r="M94">
        <f t="shared" si="6"/>
        <v>2</v>
      </c>
      <c r="N94">
        <v>2</v>
      </c>
      <c r="O94">
        <v>22.49</v>
      </c>
      <c r="P94">
        <v>3.5</v>
      </c>
      <c r="Q94" s="9">
        <f t="shared" si="7"/>
        <v>2.823012351274989</v>
      </c>
    </row>
    <row r="95" spans="2:17" x14ac:dyDescent="0.3">
      <c r="B95" t="s">
        <v>7</v>
      </c>
      <c r="C95" t="s">
        <v>22</v>
      </c>
      <c r="D95" t="s">
        <v>25</v>
      </c>
      <c r="E95" t="s">
        <v>10</v>
      </c>
      <c r="F95">
        <v>2</v>
      </c>
      <c r="G95">
        <v>5.75</v>
      </c>
      <c r="H95">
        <v>1</v>
      </c>
      <c r="J95">
        <f t="shared" si="4"/>
        <v>2</v>
      </c>
      <c r="K95">
        <f t="shared" si="5"/>
        <v>2</v>
      </c>
      <c r="L95" cm="1">
        <f t="array" ref="L95">_xlfn.IFS(D95="Sat",1,D95="Sun",2,D95="Thur",3,D95="Fri",4)</f>
        <v>4</v>
      </c>
      <c r="M95">
        <f t="shared" si="6"/>
        <v>2</v>
      </c>
      <c r="N95">
        <v>2</v>
      </c>
      <c r="O95">
        <v>5.75</v>
      </c>
      <c r="P95">
        <v>1</v>
      </c>
      <c r="Q95" s="9">
        <f t="shared" si="7"/>
        <v>1.1911028936153194</v>
      </c>
    </row>
    <row r="96" spans="2:17" x14ac:dyDescent="0.3">
      <c r="B96" t="s">
        <v>7</v>
      </c>
      <c r="C96" t="s">
        <v>22</v>
      </c>
      <c r="D96" t="s">
        <v>25</v>
      </c>
      <c r="E96" t="s">
        <v>10</v>
      </c>
      <c r="F96">
        <v>2</v>
      </c>
      <c r="G96">
        <v>16.32</v>
      </c>
      <c r="H96">
        <v>4.3</v>
      </c>
      <c r="J96">
        <f t="shared" si="4"/>
        <v>2</v>
      </c>
      <c r="K96">
        <f t="shared" si="5"/>
        <v>2</v>
      </c>
      <c r="L96" cm="1">
        <f t="array" ref="L96">_xlfn.IFS(D96="Sat",1,D96="Sun",2,D96="Thur",3,D96="Fri",4)</f>
        <v>4</v>
      </c>
      <c r="M96">
        <f t="shared" si="6"/>
        <v>2</v>
      </c>
      <c r="N96">
        <v>2</v>
      </c>
      <c r="O96">
        <v>16.32</v>
      </c>
      <c r="P96">
        <v>4.3</v>
      </c>
      <c r="Q96" s="9">
        <f t="shared" si="7"/>
        <v>2.185409450272898</v>
      </c>
    </row>
    <row r="97" spans="2:17" x14ac:dyDescent="0.3">
      <c r="B97" t="s">
        <v>7</v>
      </c>
      <c r="C97" t="s">
        <v>8</v>
      </c>
      <c r="D97" t="s">
        <v>25</v>
      </c>
      <c r="E97" t="s">
        <v>10</v>
      </c>
      <c r="F97">
        <v>2</v>
      </c>
      <c r="G97">
        <v>22.75</v>
      </c>
      <c r="H97">
        <v>3.25</v>
      </c>
      <c r="J97">
        <f t="shared" si="4"/>
        <v>2</v>
      </c>
      <c r="K97">
        <f t="shared" si="5"/>
        <v>1</v>
      </c>
      <c r="L97" cm="1">
        <f t="array" ref="L97">_xlfn.IFS(D97="Sat",1,D97="Sun",2,D97="Thur",3,D97="Fri",4)</f>
        <v>4</v>
      </c>
      <c r="M97">
        <f t="shared" si="6"/>
        <v>2</v>
      </c>
      <c r="N97">
        <v>2</v>
      </c>
      <c r="O97">
        <v>22.75</v>
      </c>
      <c r="P97">
        <v>3.25</v>
      </c>
      <c r="Q97" s="9">
        <f t="shared" si="7"/>
        <v>2.8758029716507245</v>
      </c>
    </row>
    <row r="98" spans="2:17" x14ac:dyDescent="0.3">
      <c r="B98" t="s">
        <v>11</v>
      </c>
      <c r="C98" t="s">
        <v>22</v>
      </c>
      <c r="D98" t="s">
        <v>25</v>
      </c>
      <c r="E98" t="s">
        <v>10</v>
      </c>
      <c r="F98">
        <v>4</v>
      </c>
      <c r="G98">
        <v>40.17</v>
      </c>
      <c r="H98">
        <v>4.7300000000000004</v>
      </c>
      <c r="J98">
        <f t="shared" si="4"/>
        <v>1</v>
      </c>
      <c r="K98">
        <f t="shared" si="5"/>
        <v>2</v>
      </c>
      <c r="L98" cm="1">
        <f t="array" ref="L98">_xlfn.IFS(D98="Sat",1,D98="Sun",2,D98="Thur",3,D98="Fri",4)</f>
        <v>4</v>
      </c>
      <c r="M98">
        <f t="shared" si="6"/>
        <v>2</v>
      </c>
      <c r="N98">
        <v>4</v>
      </c>
      <c r="O98">
        <v>40.17</v>
      </c>
      <c r="P98">
        <v>4.7300000000000004</v>
      </c>
      <c r="Q98" s="9">
        <f t="shared" si="7"/>
        <v>4.7626596693350267</v>
      </c>
    </row>
    <row r="99" spans="2:17" x14ac:dyDescent="0.3">
      <c r="B99" t="s">
        <v>11</v>
      </c>
      <c r="C99" t="s">
        <v>22</v>
      </c>
      <c r="D99" t="s">
        <v>25</v>
      </c>
      <c r="E99" t="s">
        <v>10</v>
      </c>
      <c r="F99">
        <v>2</v>
      </c>
      <c r="G99">
        <v>27.28</v>
      </c>
      <c r="H99">
        <v>4</v>
      </c>
      <c r="J99">
        <f t="shared" si="4"/>
        <v>1</v>
      </c>
      <c r="K99">
        <f t="shared" si="5"/>
        <v>2</v>
      </c>
      <c r="L99" cm="1">
        <f t="array" ref="L99">_xlfn.IFS(D99="Sat",1,D99="Sun",2,D99="Thur",3,D99="Fri",4)</f>
        <v>4</v>
      </c>
      <c r="M99">
        <f t="shared" si="6"/>
        <v>2</v>
      </c>
      <c r="N99">
        <v>2</v>
      </c>
      <c r="O99">
        <v>27.28</v>
      </c>
      <c r="P99">
        <v>4</v>
      </c>
      <c r="Q99" s="9">
        <f t="shared" si="7"/>
        <v>3.1880700660086125</v>
      </c>
    </row>
    <row r="100" spans="2:17" x14ac:dyDescent="0.3">
      <c r="B100" t="s">
        <v>11</v>
      </c>
      <c r="C100" t="s">
        <v>22</v>
      </c>
      <c r="D100" t="s">
        <v>25</v>
      </c>
      <c r="E100" t="s">
        <v>10</v>
      </c>
      <c r="F100">
        <v>2</v>
      </c>
      <c r="G100">
        <v>12.03</v>
      </c>
      <c r="H100">
        <v>1.5</v>
      </c>
      <c r="J100">
        <f t="shared" si="4"/>
        <v>1</v>
      </c>
      <c r="K100">
        <f t="shared" si="5"/>
        <v>2</v>
      </c>
      <c r="L100" cm="1">
        <f t="array" ref="L100">_xlfn.IFS(D100="Sat",1,D100="Sun",2,D100="Thur",3,D100="Fri",4)</f>
        <v>4</v>
      </c>
      <c r="M100">
        <f t="shared" si="6"/>
        <v>2</v>
      </c>
      <c r="N100">
        <v>2</v>
      </c>
      <c r="O100">
        <v>12.03</v>
      </c>
      <c r="P100">
        <v>1.5</v>
      </c>
      <c r="Q100" s="9">
        <f t="shared" si="7"/>
        <v>1.7535218172831561</v>
      </c>
    </row>
    <row r="101" spans="2:17" x14ac:dyDescent="0.3">
      <c r="B101" t="s">
        <v>11</v>
      </c>
      <c r="C101" t="s">
        <v>22</v>
      </c>
      <c r="D101" t="s">
        <v>25</v>
      </c>
      <c r="E101" t="s">
        <v>10</v>
      </c>
      <c r="F101">
        <v>2</v>
      </c>
      <c r="G101">
        <v>21.01</v>
      </c>
      <c r="H101">
        <v>3</v>
      </c>
      <c r="J101">
        <f t="shared" si="4"/>
        <v>1</v>
      </c>
      <c r="K101">
        <f t="shared" si="5"/>
        <v>2</v>
      </c>
      <c r="L101" cm="1">
        <f t="array" ref="L101">_xlfn.IFS(D101="Sat",1,D101="Sun",2,D101="Thur",3,D101="Fri",4)</f>
        <v>4</v>
      </c>
      <c r="M101">
        <f t="shared" si="6"/>
        <v>2</v>
      </c>
      <c r="N101">
        <v>2</v>
      </c>
      <c r="O101">
        <v>21.01</v>
      </c>
      <c r="P101">
        <v>3</v>
      </c>
      <c r="Q101" s="9">
        <f t="shared" si="7"/>
        <v>2.5982590811228023</v>
      </c>
    </row>
    <row r="102" spans="2:17" x14ac:dyDescent="0.3">
      <c r="B102" t="s">
        <v>11</v>
      </c>
      <c r="C102" t="s">
        <v>8</v>
      </c>
      <c r="D102" t="s">
        <v>25</v>
      </c>
      <c r="E102" t="s">
        <v>10</v>
      </c>
      <c r="F102">
        <v>2</v>
      </c>
      <c r="G102">
        <v>12.46</v>
      </c>
      <c r="H102">
        <v>1.5</v>
      </c>
      <c r="J102">
        <f t="shared" si="4"/>
        <v>1</v>
      </c>
      <c r="K102">
        <f t="shared" si="5"/>
        <v>1</v>
      </c>
      <c r="L102" cm="1">
        <f t="array" ref="L102">_xlfn.IFS(D102="Sat",1,D102="Sun",2,D102="Thur",3,D102="Fri",4)</f>
        <v>4</v>
      </c>
      <c r="M102">
        <f t="shared" si="6"/>
        <v>2</v>
      </c>
      <c r="N102">
        <v>2</v>
      </c>
      <c r="O102">
        <v>12.46</v>
      </c>
      <c r="P102">
        <v>1.5</v>
      </c>
      <c r="Q102" s="9">
        <f t="shared" si="7"/>
        <v>1.879502912932935</v>
      </c>
    </row>
    <row r="103" spans="2:17" x14ac:dyDescent="0.3">
      <c r="B103" t="s">
        <v>7</v>
      </c>
      <c r="C103" t="s">
        <v>22</v>
      </c>
      <c r="D103" t="s">
        <v>25</v>
      </c>
      <c r="E103" t="s">
        <v>10</v>
      </c>
      <c r="F103">
        <v>2</v>
      </c>
      <c r="G103">
        <v>11.35</v>
      </c>
      <c r="H103">
        <v>2.5</v>
      </c>
      <c r="J103">
        <f t="shared" si="4"/>
        <v>2</v>
      </c>
      <c r="K103">
        <f t="shared" si="5"/>
        <v>2</v>
      </c>
      <c r="L103" cm="1">
        <f t="array" ref="L103">_xlfn.IFS(D103="Sat",1,D103="Sun",2,D103="Thur",3,D103="Fri",4)</f>
        <v>4</v>
      </c>
      <c r="M103">
        <f t="shared" si="6"/>
        <v>2</v>
      </c>
      <c r="N103">
        <v>2</v>
      </c>
      <c r="O103">
        <v>11.35</v>
      </c>
      <c r="P103">
        <v>2.5</v>
      </c>
      <c r="Q103" s="9">
        <f t="shared" si="7"/>
        <v>1.717887824294831</v>
      </c>
    </row>
    <row r="104" spans="2:17" x14ac:dyDescent="0.3">
      <c r="B104" t="s">
        <v>7</v>
      </c>
      <c r="C104" t="s">
        <v>22</v>
      </c>
      <c r="D104" t="s">
        <v>25</v>
      </c>
      <c r="E104" t="s">
        <v>10</v>
      </c>
      <c r="F104">
        <v>2</v>
      </c>
      <c r="G104">
        <v>15.38</v>
      </c>
      <c r="H104">
        <v>3</v>
      </c>
      <c r="J104">
        <f t="shared" si="4"/>
        <v>2</v>
      </c>
      <c r="K104">
        <f t="shared" si="5"/>
        <v>2</v>
      </c>
      <c r="L104" cm="1">
        <f t="array" ref="L104">_xlfn.IFS(D104="Sat",1,D104="Sun",2,D104="Thur",3,D104="Fri",4)</f>
        <v>4</v>
      </c>
      <c r="M104">
        <f t="shared" si="6"/>
        <v>2</v>
      </c>
      <c r="N104">
        <v>2</v>
      </c>
      <c r="O104">
        <v>15.38</v>
      </c>
      <c r="P104">
        <v>3</v>
      </c>
      <c r="Q104" s="9">
        <f t="shared" si="7"/>
        <v>2.0969848369088369</v>
      </c>
    </row>
    <row r="105" spans="2:17" x14ac:dyDescent="0.3">
      <c r="B105" t="s">
        <v>7</v>
      </c>
      <c r="C105" t="s">
        <v>22</v>
      </c>
      <c r="D105" t="s">
        <v>21</v>
      </c>
      <c r="E105" t="s">
        <v>10</v>
      </c>
      <c r="F105">
        <v>3</v>
      </c>
      <c r="G105">
        <v>44.3</v>
      </c>
      <c r="H105">
        <v>2.5</v>
      </c>
      <c r="J105">
        <f t="shared" si="4"/>
        <v>2</v>
      </c>
      <c r="K105">
        <f t="shared" si="5"/>
        <v>2</v>
      </c>
      <c r="L105" cm="1">
        <f t="array" ref="L105">_xlfn.IFS(D105="Sat",1,D105="Sun",2,D105="Thur",3,D105="Fri",4)</f>
        <v>1</v>
      </c>
      <c r="M105">
        <f t="shared" si="6"/>
        <v>2</v>
      </c>
      <c r="N105">
        <v>3</v>
      </c>
      <c r="O105">
        <v>44.3</v>
      </c>
      <c r="P105">
        <v>2.5</v>
      </c>
      <c r="Q105" s="9">
        <f t="shared" si="7"/>
        <v>4.8252345706553292</v>
      </c>
    </row>
    <row r="106" spans="2:17" x14ac:dyDescent="0.3">
      <c r="B106" t="s">
        <v>7</v>
      </c>
      <c r="C106" t="s">
        <v>22</v>
      </c>
      <c r="D106" t="s">
        <v>21</v>
      </c>
      <c r="E106" t="s">
        <v>10</v>
      </c>
      <c r="F106">
        <v>2</v>
      </c>
      <c r="G106">
        <v>22.42</v>
      </c>
      <c r="H106">
        <v>3.48</v>
      </c>
      <c r="J106">
        <f t="shared" si="4"/>
        <v>2</v>
      </c>
      <c r="K106">
        <f t="shared" si="5"/>
        <v>2</v>
      </c>
      <c r="L106" cm="1">
        <f t="array" ref="L106">_xlfn.IFS(D106="Sat",1,D106="Sun",2,D106="Thur",3,D106="Fri",4)</f>
        <v>1</v>
      </c>
      <c r="M106">
        <f t="shared" si="6"/>
        <v>2</v>
      </c>
      <c r="N106">
        <v>2</v>
      </c>
      <c r="O106">
        <v>22.42</v>
      </c>
      <c r="P106">
        <v>3.48</v>
      </c>
      <c r="Q106" s="9">
        <f t="shared" si="7"/>
        <v>2.5859888038067189</v>
      </c>
    </row>
    <row r="107" spans="2:17" x14ac:dyDescent="0.3">
      <c r="B107" t="s">
        <v>7</v>
      </c>
      <c r="C107" t="s">
        <v>8</v>
      </c>
      <c r="D107" t="s">
        <v>21</v>
      </c>
      <c r="E107" t="s">
        <v>10</v>
      </c>
      <c r="F107">
        <v>2</v>
      </c>
      <c r="G107">
        <v>20.92</v>
      </c>
      <c r="H107">
        <v>4.08</v>
      </c>
      <c r="J107">
        <f t="shared" si="4"/>
        <v>2</v>
      </c>
      <c r="K107">
        <f t="shared" si="5"/>
        <v>1</v>
      </c>
      <c r="L107" cm="1">
        <f t="array" ref="L107">_xlfn.IFS(D107="Sat",1,D107="Sun",2,D107="Thur",3,D107="Fri",4)</f>
        <v>1</v>
      </c>
      <c r="M107">
        <f t="shared" si="6"/>
        <v>2</v>
      </c>
      <c r="N107">
        <v>2</v>
      </c>
      <c r="O107">
        <v>20.92</v>
      </c>
      <c r="P107">
        <v>4.08</v>
      </c>
      <c r="Q107" s="9">
        <f t="shared" si="7"/>
        <v>2.5304172358473087</v>
      </c>
    </row>
    <row r="108" spans="2:17" x14ac:dyDescent="0.3">
      <c r="B108" t="s">
        <v>11</v>
      </c>
      <c r="C108" t="s">
        <v>22</v>
      </c>
      <c r="D108" t="s">
        <v>21</v>
      </c>
      <c r="E108" t="s">
        <v>10</v>
      </c>
      <c r="F108">
        <v>2</v>
      </c>
      <c r="G108">
        <v>15.36</v>
      </c>
      <c r="H108">
        <v>1.64</v>
      </c>
      <c r="J108">
        <f t="shared" si="4"/>
        <v>1</v>
      </c>
      <c r="K108">
        <f t="shared" si="5"/>
        <v>2</v>
      </c>
      <c r="L108" cm="1">
        <f t="array" ref="L108">_xlfn.IFS(D108="Sat",1,D108="Sun",2,D108="Thur",3,D108="Fri",4)</f>
        <v>1</v>
      </c>
      <c r="M108">
        <f t="shared" si="6"/>
        <v>2</v>
      </c>
      <c r="N108">
        <v>2</v>
      </c>
      <c r="O108">
        <v>15.36</v>
      </c>
      <c r="P108">
        <v>1.64</v>
      </c>
      <c r="Q108" s="9">
        <f t="shared" si="7"/>
        <v>1.8935307676058619</v>
      </c>
    </row>
    <row r="109" spans="2:17" x14ac:dyDescent="0.3">
      <c r="B109" t="s">
        <v>11</v>
      </c>
      <c r="C109" t="s">
        <v>22</v>
      </c>
      <c r="D109" t="s">
        <v>21</v>
      </c>
      <c r="E109" t="s">
        <v>10</v>
      </c>
      <c r="F109">
        <v>2</v>
      </c>
      <c r="G109">
        <v>20.49</v>
      </c>
      <c r="H109">
        <v>4.0599999999999996</v>
      </c>
      <c r="J109">
        <f t="shared" si="4"/>
        <v>1</v>
      </c>
      <c r="K109">
        <f t="shared" si="5"/>
        <v>2</v>
      </c>
      <c r="L109" cm="1">
        <f t="array" ref="L109">_xlfn.IFS(D109="Sat",1,D109="Sun",2,D109="Thur",3,D109="Fri",4)</f>
        <v>1</v>
      </c>
      <c r="M109">
        <f t="shared" si="6"/>
        <v>2</v>
      </c>
      <c r="N109">
        <v>2</v>
      </c>
      <c r="O109">
        <v>20.49</v>
      </c>
      <c r="P109">
        <v>4.0599999999999996</v>
      </c>
      <c r="Q109" s="9">
        <f t="shared" si="7"/>
        <v>2.3761033916033432</v>
      </c>
    </row>
    <row r="110" spans="2:17" x14ac:dyDescent="0.3">
      <c r="B110" t="s">
        <v>11</v>
      </c>
      <c r="C110" t="s">
        <v>22</v>
      </c>
      <c r="D110" t="s">
        <v>21</v>
      </c>
      <c r="E110" t="s">
        <v>10</v>
      </c>
      <c r="F110">
        <v>2</v>
      </c>
      <c r="G110">
        <v>25.21</v>
      </c>
      <c r="H110">
        <v>4.29</v>
      </c>
      <c r="J110">
        <f t="shared" si="4"/>
        <v>1</v>
      </c>
      <c r="K110">
        <f t="shared" si="5"/>
        <v>2</v>
      </c>
      <c r="L110" cm="1">
        <f t="array" ref="L110">_xlfn.IFS(D110="Sat",1,D110="Sun",2,D110="Thur",3,D110="Fri",4)</f>
        <v>1</v>
      </c>
      <c r="M110">
        <f t="shared" si="6"/>
        <v>2</v>
      </c>
      <c r="N110">
        <v>2</v>
      </c>
      <c r="O110">
        <v>25.21</v>
      </c>
      <c r="P110">
        <v>4.29</v>
      </c>
      <c r="Q110" s="9">
        <f t="shared" si="7"/>
        <v>2.8201078331760745</v>
      </c>
    </row>
    <row r="111" spans="2:17" x14ac:dyDescent="0.3">
      <c r="B111" t="s">
        <v>11</v>
      </c>
      <c r="C111" t="s">
        <v>8</v>
      </c>
      <c r="D111" t="s">
        <v>21</v>
      </c>
      <c r="E111" t="s">
        <v>10</v>
      </c>
      <c r="F111">
        <v>2</v>
      </c>
      <c r="G111">
        <v>18.239999999999998</v>
      </c>
      <c r="H111">
        <v>3.76</v>
      </c>
      <c r="J111">
        <f t="shared" si="4"/>
        <v>1</v>
      </c>
      <c r="K111">
        <f t="shared" si="5"/>
        <v>1</v>
      </c>
      <c r="L111" cm="1">
        <f t="array" ref="L111">_xlfn.IFS(D111="Sat",1,D111="Sun",2,D111="Thur",3,D111="Fri",4)</f>
        <v>1</v>
      </c>
      <c r="M111">
        <f t="shared" si="6"/>
        <v>2</v>
      </c>
      <c r="N111">
        <v>2</v>
      </c>
      <c r="O111">
        <v>18.239999999999998</v>
      </c>
      <c r="P111">
        <v>3.76</v>
      </c>
      <c r="Q111" s="9">
        <f t="shared" si="7"/>
        <v>2.249980270427927</v>
      </c>
    </row>
    <row r="112" spans="2:17" x14ac:dyDescent="0.3">
      <c r="B112" t="s">
        <v>7</v>
      </c>
      <c r="C112" t="s">
        <v>22</v>
      </c>
      <c r="D112" t="s">
        <v>21</v>
      </c>
      <c r="E112" t="s">
        <v>10</v>
      </c>
      <c r="F112">
        <v>2</v>
      </c>
      <c r="G112">
        <v>14.31</v>
      </c>
      <c r="H112">
        <v>4</v>
      </c>
      <c r="J112">
        <f t="shared" si="4"/>
        <v>2</v>
      </c>
      <c r="K112">
        <f t="shared" si="5"/>
        <v>2</v>
      </c>
      <c r="L112" cm="1">
        <f t="array" ref="L112">_xlfn.IFS(D112="Sat",1,D112="Sun",2,D112="Thur",3,D112="Fri",4)</f>
        <v>1</v>
      </c>
      <c r="M112">
        <f t="shared" si="6"/>
        <v>2</v>
      </c>
      <c r="N112">
        <v>2</v>
      </c>
      <c r="O112">
        <v>14.31</v>
      </c>
      <c r="P112">
        <v>4</v>
      </c>
      <c r="Q112" s="9">
        <f t="shared" si="7"/>
        <v>1.8230913416976402</v>
      </c>
    </row>
    <row r="113" spans="2:17" x14ac:dyDescent="0.3">
      <c r="B113" t="s">
        <v>11</v>
      </c>
      <c r="C113" t="s">
        <v>8</v>
      </c>
      <c r="D113" t="s">
        <v>21</v>
      </c>
      <c r="E113" t="s">
        <v>10</v>
      </c>
      <c r="F113">
        <v>2</v>
      </c>
      <c r="G113">
        <v>14</v>
      </c>
      <c r="H113">
        <v>3</v>
      </c>
      <c r="J113">
        <f t="shared" si="4"/>
        <v>1</v>
      </c>
      <c r="K113">
        <f t="shared" si="5"/>
        <v>1</v>
      </c>
      <c r="L113" cm="1">
        <f t="array" ref="L113">_xlfn.IFS(D113="Sat",1,D113="Sun",2,D113="Thur",3,D113="Fri",4)</f>
        <v>1</v>
      </c>
      <c r="M113">
        <f t="shared" si="6"/>
        <v>2</v>
      </c>
      <c r="N113">
        <v>2</v>
      </c>
      <c r="O113">
        <v>14</v>
      </c>
      <c r="P113">
        <v>3</v>
      </c>
      <c r="Q113" s="9">
        <f t="shared" si="7"/>
        <v>1.8511288229134395</v>
      </c>
    </row>
    <row r="114" spans="2:17" x14ac:dyDescent="0.3">
      <c r="B114" t="s">
        <v>7</v>
      </c>
      <c r="C114" t="s">
        <v>8</v>
      </c>
      <c r="D114" t="s">
        <v>21</v>
      </c>
      <c r="E114" t="s">
        <v>10</v>
      </c>
      <c r="F114">
        <v>1</v>
      </c>
      <c r="G114">
        <v>7.25</v>
      </c>
      <c r="H114">
        <v>1</v>
      </c>
      <c r="J114">
        <f t="shared" si="4"/>
        <v>2</v>
      </c>
      <c r="K114">
        <f t="shared" si="5"/>
        <v>1</v>
      </c>
      <c r="L114" cm="1">
        <f t="array" ref="L114">_xlfn.IFS(D114="Sat",1,D114="Sun",2,D114="Thur",3,D114="Fri",4)</f>
        <v>1</v>
      </c>
      <c r="M114">
        <f t="shared" si="6"/>
        <v>2</v>
      </c>
      <c r="N114">
        <v>1</v>
      </c>
      <c r="O114">
        <v>7.25</v>
      </c>
      <c r="P114">
        <v>1</v>
      </c>
      <c r="Q114" s="9">
        <f t="shared" si="7"/>
        <v>1.0634758048699102</v>
      </c>
    </row>
    <row r="115" spans="2:17" x14ac:dyDescent="0.3">
      <c r="B115" t="s">
        <v>11</v>
      </c>
      <c r="C115" t="s">
        <v>8</v>
      </c>
      <c r="D115" t="s">
        <v>9</v>
      </c>
      <c r="E115" t="s">
        <v>10</v>
      </c>
      <c r="F115">
        <v>3</v>
      </c>
      <c r="G115">
        <v>38.07</v>
      </c>
      <c r="H115">
        <v>4</v>
      </c>
      <c r="J115">
        <f t="shared" si="4"/>
        <v>1</v>
      </c>
      <c r="K115">
        <f t="shared" si="5"/>
        <v>1</v>
      </c>
      <c r="L115" cm="1">
        <f t="array" ref="L115">_xlfn.IFS(D115="Sat",1,D115="Sun",2,D115="Thur",3,D115="Fri",4)</f>
        <v>2</v>
      </c>
      <c r="M115">
        <f t="shared" si="6"/>
        <v>2</v>
      </c>
      <c r="N115">
        <v>3</v>
      </c>
      <c r="O115">
        <v>38.07</v>
      </c>
      <c r="P115">
        <v>4</v>
      </c>
      <c r="Q115" s="9">
        <f t="shared" si="7"/>
        <v>4.3541317738049088</v>
      </c>
    </row>
    <row r="116" spans="2:17" x14ac:dyDescent="0.3">
      <c r="B116" t="s">
        <v>11</v>
      </c>
      <c r="C116" t="s">
        <v>8</v>
      </c>
      <c r="D116" t="s">
        <v>9</v>
      </c>
      <c r="E116" t="s">
        <v>10</v>
      </c>
      <c r="F116">
        <v>2</v>
      </c>
      <c r="G116">
        <v>23.95</v>
      </c>
      <c r="H116">
        <v>2.5499999999999998</v>
      </c>
      <c r="J116">
        <f t="shared" si="4"/>
        <v>1</v>
      </c>
      <c r="K116">
        <f t="shared" si="5"/>
        <v>1</v>
      </c>
      <c r="L116" cm="1">
        <f t="array" ref="L116">_xlfn.IFS(D116="Sat",1,D116="Sun",2,D116="Thur",3,D116="Fri",4)</f>
        <v>2</v>
      </c>
      <c r="M116">
        <f t="shared" si="6"/>
        <v>2</v>
      </c>
      <c r="N116">
        <v>2</v>
      </c>
      <c r="O116">
        <v>23.95</v>
      </c>
      <c r="P116">
        <v>2.5499999999999998</v>
      </c>
      <c r="Q116" s="9">
        <f t="shared" si="7"/>
        <v>2.8448594108979064</v>
      </c>
    </row>
    <row r="117" spans="2:17" x14ac:dyDescent="0.3">
      <c r="B117" t="s">
        <v>7</v>
      </c>
      <c r="C117" t="s">
        <v>8</v>
      </c>
      <c r="D117" t="s">
        <v>9</v>
      </c>
      <c r="E117" t="s">
        <v>10</v>
      </c>
      <c r="F117">
        <v>3</v>
      </c>
      <c r="G117">
        <v>25.71</v>
      </c>
      <c r="H117">
        <v>4</v>
      </c>
      <c r="J117">
        <f t="shared" si="4"/>
        <v>2</v>
      </c>
      <c r="K117">
        <f t="shared" si="5"/>
        <v>1</v>
      </c>
      <c r="L117" cm="1">
        <f t="array" ref="L117">_xlfn.IFS(D117="Sat",1,D117="Sun",2,D117="Thur",3,D117="Fri",4)</f>
        <v>2</v>
      </c>
      <c r="M117">
        <f t="shared" si="6"/>
        <v>2</v>
      </c>
      <c r="N117">
        <v>3</v>
      </c>
      <c r="O117">
        <v>25.71</v>
      </c>
      <c r="P117">
        <v>4</v>
      </c>
      <c r="Q117" s="9">
        <f t="shared" si="7"/>
        <v>3.219774925399316</v>
      </c>
    </row>
    <row r="118" spans="2:17" x14ac:dyDescent="0.3">
      <c r="B118" t="s">
        <v>7</v>
      </c>
      <c r="C118" t="s">
        <v>8</v>
      </c>
      <c r="D118" t="s">
        <v>9</v>
      </c>
      <c r="E118" t="s">
        <v>10</v>
      </c>
      <c r="F118">
        <v>2</v>
      </c>
      <c r="G118">
        <v>17.309999999999999</v>
      </c>
      <c r="H118">
        <v>3.5</v>
      </c>
      <c r="J118">
        <f t="shared" si="4"/>
        <v>2</v>
      </c>
      <c r="K118">
        <f t="shared" si="5"/>
        <v>1</v>
      </c>
      <c r="L118" cm="1">
        <f t="array" ref="L118">_xlfn.IFS(D118="Sat",1,D118="Sun",2,D118="Thur",3,D118="Fri",4)</f>
        <v>2</v>
      </c>
      <c r="M118">
        <f t="shared" si="6"/>
        <v>2</v>
      </c>
      <c r="N118">
        <v>2</v>
      </c>
      <c r="O118">
        <v>17.309999999999999</v>
      </c>
      <c r="P118">
        <v>3.5</v>
      </c>
      <c r="Q118" s="9">
        <f t="shared" si="7"/>
        <v>2.2485757416863863</v>
      </c>
    </row>
    <row r="119" spans="2:17" x14ac:dyDescent="0.3">
      <c r="B119" t="s">
        <v>11</v>
      </c>
      <c r="C119" t="s">
        <v>8</v>
      </c>
      <c r="D119" t="s">
        <v>9</v>
      </c>
      <c r="E119" t="s">
        <v>10</v>
      </c>
      <c r="F119">
        <v>4</v>
      </c>
      <c r="G119">
        <v>29.93</v>
      </c>
      <c r="H119">
        <v>5.07</v>
      </c>
      <c r="J119">
        <f t="shared" si="4"/>
        <v>1</v>
      </c>
      <c r="K119">
        <f t="shared" si="5"/>
        <v>1</v>
      </c>
      <c r="L119" cm="1">
        <f t="array" ref="L119">_xlfn.IFS(D119="Sat",1,D119="Sun",2,D119="Thur",3,D119="Fri",4)</f>
        <v>2</v>
      </c>
      <c r="M119">
        <f t="shared" si="6"/>
        <v>2</v>
      </c>
      <c r="N119">
        <v>4</v>
      </c>
      <c r="O119">
        <v>29.93</v>
      </c>
      <c r="P119">
        <v>5.07</v>
      </c>
      <c r="Q119" s="9">
        <f t="shared" si="7"/>
        <v>3.7694340372608517</v>
      </c>
    </row>
    <row r="120" spans="2:17" x14ac:dyDescent="0.3">
      <c r="B120" t="s">
        <v>7</v>
      </c>
      <c r="C120" t="s">
        <v>8</v>
      </c>
      <c r="D120" t="s">
        <v>23</v>
      </c>
      <c r="E120" t="s">
        <v>24</v>
      </c>
      <c r="F120">
        <v>2</v>
      </c>
      <c r="G120">
        <v>10.65</v>
      </c>
      <c r="H120">
        <v>1.5</v>
      </c>
      <c r="J120">
        <f t="shared" si="4"/>
        <v>2</v>
      </c>
      <c r="K120">
        <f t="shared" si="5"/>
        <v>1</v>
      </c>
      <c r="L120" cm="1">
        <f t="array" ref="L120">_xlfn.IFS(D120="Sat",1,D120="Sun",2,D120="Thur",3,D120="Fri",4)</f>
        <v>3</v>
      </c>
      <c r="M120">
        <f t="shared" si="6"/>
        <v>1</v>
      </c>
      <c r="N120">
        <v>2</v>
      </c>
      <c r="O120">
        <v>10.65</v>
      </c>
      <c r="P120">
        <v>1.5</v>
      </c>
      <c r="Q120" s="9">
        <f t="shared" si="7"/>
        <v>1.5940370667535577</v>
      </c>
    </row>
    <row r="121" spans="2:17" x14ac:dyDescent="0.3">
      <c r="B121" t="s">
        <v>7</v>
      </c>
      <c r="C121" t="s">
        <v>8</v>
      </c>
      <c r="D121" t="s">
        <v>23</v>
      </c>
      <c r="E121" t="s">
        <v>24</v>
      </c>
      <c r="F121">
        <v>2</v>
      </c>
      <c r="G121">
        <v>12.43</v>
      </c>
      <c r="H121">
        <v>1.8</v>
      </c>
      <c r="J121">
        <f t="shared" si="4"/>
        <v>2</v>
      </c>
      <c r="K121">
        <f t="shared" si="5"/>
        <v>1</v>
      </c>
      <c r="L121" cm="1">
        <f t="array" ref="L121">_xlfn.IFS(D121="Sat",1,D121="Sun",2,D121="Thur",3,D121="Fri",4)</f>
        <v>3</v>
      </c>
      <c r="M121">
        <f t="shared" si="6"/>
        <v>1</v>
      </c>
      <c r="N121">
        <v>2</v>
      </c>
      <c r="O121">
        <v>12.43</v>
      </c>
      <c r="P121">
        <v>1.8</v>
      </c>
      <c r="Q121" s="9">
        <f t="shared" si="7"/>
        <v>1.7614794197195454</v>
      </c>
    </row>
    <row r="122" spans="2:17" x14ac:dyDescent="0.3">
      <c r="B122" t="s">
        <v>7</v>
      </c>
      <c r="C122" t="s">
        <v>8</v>
      </c>
      <c r="D122" t="s">
        <v>23</v>
      </c>
      <c r="E122" t="s">
        <v>24</v>
      </c>
      <c r="F122">
        <v>4</v>
      </c>
      <c r="G122">
        <v>24.08</v>
      </c>
      <c r="H122">
        <v>2.92</v>
      </c>
      <c r="J122">
        <f t="shared" si="4"/>
        <v>2</v>
      </c>
      <c r="K122">
        <f t="shared" si="5"/>
        <v>1</v>
      </c>
      <c r="L122" cm="1">
        <f t="array" ref="L122">_xlfn.IFS(D122="Sat",1,D122="Sun",2,D122="Thur",3,D122="Fri",4)</f>
        <v>3</v>
      </c>
      <c r="M122">
        <f t="shared" si="6"/>
        <v>1</v>
      </c>
      <c r="N122">
        <v>4</v>
      </c>
      <c r="O122">
        <v>24.08</v>
      </c>
      <c r="P122">
        <v>2.92</v>
      </c>
      <c r="Q122" s="9">
        <f t="shared" si="7"/>
        <v>3.2194237883954955</v>
      </c>
    </row>
    <row r="123" spans="2:17" x14ac:dyDescent="0.3">
      <c r="B123" t="s">
        <v>11</v>
      </c>
      <c r="C123" t="s">
        <v>8</v>
      </c>
      <c r="D123" t="s">
        <v>23</v>
      </c>
      <c r="E123" t="s">
        <v>24</v>
      </c>
      <c r="F123">
        <v>2</v>
      </c>
      <c r="G123">
        <v>11.69</v>
      </c>
      <c r="H123">
        <v>2.31</v>
      </c>
      <c r="J123">
        <f t="shared" si="4"/>
        <v>1</v>
      </c>
      <c r="K123">
        <f t="shared" si="5"/>
        <v>1</v>
      </c>
      <c r="L123" cm="1">
        <f t="array" ref="L123">_xlfn.IFS(D123="Sat",1,D123="Sun",2,D123="Thur",3,D123="Fri",4)</f>
        <v>3</v>
      </c>
      <c r="M123">
        <f t="shared" si="6"/>
        <v>1</v>
      </c>
      <c r="N123">
        <v>2</v>
      </c>
      <c r="O123">
        <v>11.69</v>
      </c>
      <c r="P123">
        <v>2.31</v>
      </c>
      <c r="Q123" s="9">
        <f t="shared" si="7"/>
        <v>1.6635358052855658</v>
      </c>
    </row>
    <row r="124" spans="2:17" x14ac:dyDescent="0.3">
      <c r="B124" t="s">
        <v>7</v>
      </c>
      <c r="C124" t="s">
        <v>8</v>
      </c>
      <c r="D124" t="s">
        <v>23</v>
      </c>
      <c r="E124" t="s">
        <v>24</v>
      </c>
      <c r="F124">
        <v>2</v>
      </c>
      <c r="G124">
        <v>13.42</v>
      </c>
      <c r="H124">
        <v>1.68</v>
      </c>
      <c r="J124">
        <f t="shared" si="4"/>
        <v>2</v>
      </c>
      <c r="K124">
        <f t="shared" si="5"/>
        <v>1</v>
      </c>
      <c r="L124" cm="1">
        <f t="array" ref="L124">_xlfn.IFS(D124="Sat",1,D124="Sun",2,D124="Thur",3,D124="Fri",4)</f>
        <v>3</v>
      </c>
      <c r="M124">
        <f t="shared" si="6"/>
        <v>1</v>
      </c>
      <c r="N124">
        <v>2</v>
      </c>
      <c r="O124">
        <v>13.42</v>
      </c>
      <c r="P124">
        <v>1.68</v>
      </c>
      <c r="Q124" s="9">
        <f t="shared" si="7"/>
        <v>1.8546074699646733</v>
      </c>
    </row>
    <row r="125" spans="2:17" x14ac:dyDescent="0.3">
      <c r="B125" t="s">
        <v>11</v>
      </c>
      <c r="C125" t="s">
        <v>8</v>
      </c>
      <c r="D125" t="s">
        <v>23</v>
      </c>
      <c r="E125" t="s">
        <v>24</v>
      </c>
      <c r="F125">
        <v>2</v>
      </c>
      <c r="G125">
        <v>14.26</v>
      </c>
      <c r="H125">
        <v>2.5</v>
      </c>
      <c r="J125">
        <f t="shared" si="4"/>
        <v>1</v>
      </c>
      <c r="K125">
        <f t="shared" si="5"/>
        <v>1</v>
      </c>
      <c r="L125" cm="1">
        <f t="array" ref="L125">_xlfn.IFS(D125="Sat",1,D125="Sun",2,D125="Thur",3,D125="Fri",4)</f>
        <v>3</v>
      </c>
      <c r="M125">
        <f t="shared" si="6"/>
        <v>1</v>
      </c>
      <c r="N125">
        <v>2</v>
      </c>
      <c r="O125">
        <v>14.26</v>
      </c>
      <c r="P125">
        <v>2.5</v>
      </c>
      <c r="Q125" s="9">
        <f t="shared" si="7"/>
        <v>1.9052924609724133</v>
      </c>
    </row>
    <row r="126" spans="2:17" x14ac:dyDescent="0.3">
      <c r="B126" t="s">
        <v>11</v>
      </c>
      <c r="C126" t="s">
        <v>8</v>
      </c>
      <c r="D126" t="s">
        <v>23</v>
      </c>
      <c r="E126" t="s">
        <v>24</v>
      </c>
      <c r="F126">
        <v>2</v>
      </c>
      <c r="G126">
        <v>15.95</v>
      </c>
      <c r="H126">
        <v>2</v>
      </c>
      <c r="J126">
        <f t="shared" si="4"/>
        <v>1</v>
      </c>
      <c r="K126">
        <f t="shared" si="5"/>
        <v>1</v>
      </c>
      <c r="L126" cm="1">
        <f t="array" ref="L126">_xlfn.IFS(D126="Sat",1,D126="Sun",2,D126="Thur",3,D126="Fri",4)</f>
        <v>3</v>
      </c>
      <c r="M126">
        <f t="shared" si="6"/>
        <v>1</v>
      </c>
      <c r="N126">
        <v>2</v>
      </c>
      <c r="O126">
        <v>15.95</v>
      </c>
      <c r="P126">
        <v>2</v>
      </c>
      <c r="Q126" s="9">
        <f t="shared" si="7"/>
        <v>2.06426862755248</v>
      </c>
    </row>
    <row r="127" spans="2:17" x14ac:dyDescent="0.3">
      <c r="B127" t="s">
        <v>7</v>
      </c>
      <c r="C127" t="s">
        <v>8</v>
      </c>
      <c r="D127" t="s">
        <v>23</v>
      </c>
      <c r="E127" t="s">
        <v>24</v>
      </c>
      <c r="F127">
        <v>2</v>
      </c>
      <c r="G127">
        <v>12.48</v>
      </c>
      <c r="H127">
        <v>2.52</v>
      </c>
      <c r="J127">
        <f t="shared" si="4"/>
        <v>2</v>
      </c>
      <c r="K127">
        <f t="shared" si="5"/>
        <v>1</v>
      </c>
      <c r="L127" cm="1">
        <f t="array" ref="L127">_xlfn.IFS(D127="Sat",1,D127="Sun",2,D127="Thur",3,D127="Fri",4)</f>
        <v>3</v>
      </c>
      <c r="M127">
        <f t="shared" si="6"/>
        <v>1</v>
      </c>
      <c r="N127">
        <v>2</v>
      </c>
      <c r="O127">
        <v>12.48</v>
      </c>
      <c r="P127">
        <v>2.52</v>
      </c>
      <c r="Q127" s="9">
        <f t="shared" si="7"/>
        <v>1.7661828566006124</v>
      </c>
    </row>
    <row r="128" spans="2:17" x14ac:dyDescent="0.3">
      <c r="B128" t="s">
        <v>7</v>
      </c>
      <c r="C128" t="s">
        <v>8</v>
      </c>
      <c r="D128" t="s">
        <v>23</v>
      </c>
      <c r="E128" t="s">
        <v>24</v>
      </c>
      <c r="F128">
        <v>6</v>
      </c>
      <c r="G128">
        <v>29.8</v>
      </c>
      <c r="H128">
        <v>4.2</v>
      </c>
      <c r="J128">
        <f t="shared" si="4"/>
        <v>2</v>
      </c>
      <c r="K128">
        <f t="shared" si="5"/>
        <v>1</v>
      </c>
      <c r="L128" cm="1">
        <f t="array" ref="L128">_xlfn.IFS(D128="Sat",1,D128="Sun",2,D128="Thur",3,D128="Fri",4)</f>
        <v>3</v>
      </c>
      <c r="M128">
        <f t="shared" si="6"/>
        <v>1</v>
      </c>
      <c r="N128">
        <v>6</v>
      </c>
      <c r="O128">
        <v>29.8</v>
      </c>
      <c r="P128">
        <v>4.2</v>
      </c>
      <c r="Q128" s="9">
        <f t="shared" si="7"/>
        <v>4.1195405429768925</v>
      </c>
    </row>
    <row r="129" spans="2:17" x14ac:dyDescent="0.3">
      <c r="B129" t="s">
        <v>11</v>
      </c>
      <c r="C129" t="s">
        <v>8</v>
      </c>
      <c r="D129" t="s">
        <v>23</v>
      </c>
      <c r="E129" t="s">
        <v>24</v>
      </c>
      <c r="F129">
        <v>2</v>
      </c>
      <c r="G129">
        <v>8.52</v>
      </c>
      <c r="H129">
        <v>1.48</v>
      </c>
      <c r="J129">
        <f t="shared" si="4"/>
        <v>1</v>
      </c>
      <c r="K129">
        <f t="shared" si="5"/>
        <v>1</v>
      </c>
      <c r="L129" cm="1">
        <f t="array" ref="L129">_xlfn.IFS(D129="Sat",1,D129="Sun",2,D129="Thur",3,D129="Fri",4)</f>
        <v>3</v>
      </c>
      <c r="M129">
        <f t="shared" si="6"/>
        <v>1</v>
      </c>
      <c r="N129">
        <v>2</v>
      </c>
      <c r="O129">
        <v>8.52</v>
      </c>
      <c r="P129">
        <v>1.48</v>
      </c>
      <c r="Q129" s="9">
        <f t="shared" si="7"/>
        <v>1.3653379070259137</v>
      </c>
    </row>
    <row r="130" spans="2:17" x14ac:dyDescent="0.3">
      <c r="B130" t="s">
        <v>7</v>
      </c>
      <c r="C130" t="s">
        <v>8</v>
      </c>
      <c r="D130" t="s">
        <v>23</v>
      </c>
      <c r="E130" t="s">
        <v>24</v>
      </c>
      <c r="F130">
        <v>2</v>
      </c>
      <c r="G130">
        <v>14.52</v>
      </c>
      <c r="H130">
        <v>2</v>
      </c>
      <c r="J130">
        <f t="shared" si="4"/>
        <v>2</v>
      </c>
      <c r="K130">
        <f t="shared" si="5"/>
        <v>1</v>
      </c>
      <c r="L130" cm="1">
        <f t="array" ref="L130">_xlfn.IFS(D130="Sat",1,D130="Sun",2,D130="Thur",3,D130="Fri",4)</f>
        <v>3</v>
      </c>
      <c r="M130">
        <f t="shared" si="6"/>
        <v>1</v>
      </c>
      <c r="N130">
        <v>2</v>
      </c>
      <c r="O130">
        <v>14.52</v>
      </c>
      <c r="P130">
        <v>2</v>
      </c>
      <c r="Q130" s="9">
        <f t="shared" si="7"/>
        <v>1.9580830813481489</v>
      </c>
    </row>
    <row r="131" spans="2:17" x14ac:dyDescent="0.3">
      <c r="B131" t="s">
        <v>7</v>
      </c>
      <c r="C131" t="s">
        <v>8</v>
      </c>
      <c r="D131" t="s">
        <v>23</v>
      </c>
      <c r="E131" t="s">
        <v>24</v>
      </c>
      <c r="F131">
        <v>2</v>
      </c>
      <c r="G131">
        <v>11.38</v>
      </c>
      <c r="H131">
        <v>2</v>
      </c>
      <c r="J131">
        <f t="shared" si="4"/>
        <v>2</v>
      </c>
      <c r="K131">
        <f t="shared" si="5"/>
        <v>1</v>
      </c>
      <c r="L131" cm="1">
        <f t="array" ref="L131">_xlfn.IFS(D131="Sat",1,D131="Sun",2,D131="Thur",3,D131="Fri",4)</f>
        <v>3</v>
      </c>
      <c r="M131">
        <f t="shared" si="6"/>
        <v>1</v>
      </c>
      <c r="N131">
        <v>2</v>
      </c>
      <c r="O131">
        <v>11.38</v>
      </c>
      <c r="P131">
        <v>2</v>
      </c>
      <c r="Q131" s="9">
        <f t="shared" si="7"/>
        <v>1.662707245217137</v>
      </c>
    </row>
    <row r="132" spans="2:17" x14ac:dyDescent="0.3">
      <c r="B132" t="s">
        <v>11</v>
      </c>
      <c r="C132" t="s">
        <v>8</v>
      </c>
      <c r="D132" t="s">
        <v>23</v>
      </c>
      <c r="E132" t="s">
        <v>24</v>
      </c>
      <c r="F132">
        <v>3</v>
      </c>
      <c r="G132">
        <v>22.82</v>
      </c>
      <c r="H132">
        <v>2.1800000000000002</v>
      </c>
      <c r="J132">
        <f t="shared" ref="J132:J195" si="8">IF(B132 = "Female",2,1)</f>
        <v>1</v>
      </c>
      <c r="K132">
        <f t="shared" ref="K132:K195" si="9">IF(C132="No",1,2)</f>
        <v>1</v>
      </c>
      <c r="L132" cm="1">
        <f t="array" ref="L132">_xlfn.IFS(D132="Sat",1,D132="Sun",2,D132="Thur",3,D132="Fri",4)</f>
        <v>3</v>
      </c>
      <c r="M132">
        <f t="shared" ref="M132:M195" si="10">IF(E132="Lunch",1,2)</f>
        <v>1</v>
      </c>
      <c r="N132">
        <v>3</v>
      </c>
      <c r="O132">
        <v>22.82</v>
      </c>
      <c r="P132">
        <v>2.1800000000000002</v>
      </c>
      <c r="Q132" s="9">
        <f t="shared" ref="Q132:Q195" si="11">J132*$T$4+K132*$T$5+L132*$T$6+M132*$T$7+N132*$T$8+O132*$T$9</f>
        <v>2.8915426427047572</v>
      </c>
    </row>
    <row r="133" spans="2:17" x14ac:dyDescent="0.3">
      <c r="B133" t="s">
        <v>11</v>
      </c>
      <c r="C133" t="s">
        <v>8</v>
      </c>
      <c r="D133" t="s">
        <v>23</v>
      </c>
      <c r="E133" t="s">
        <v>24</v>
      </c>
      <c r="F133">
        <v>2</v>
      </c>
      <c r="G133">
        <v>19.079999999999998</v>
      </c>
      <c r="H133">
        <v>1.5</v>
      </c>
      <c r="J133">
        <f t="shared" si="8"/>
        <v>1</v>
      </c>
      <c r="K133">
        <f t="shared" si="9"/>
        <v>1</v>
      </c>
      <c r="L133" cm="1">
        <f t="array" ref="L133">_xlfn.IFS(D133="Sat",1,D133="Sun",2,D133="Thur",3,D133="Fri",4)</f>
        <v>3</v>
      </c>
      <c r="M133">
        <f t="shared" si="10"/>
        <v>1</v>
      </c>
      <c r="N133">
        <v>2</v>
      </c>
      <c r="O133">
        <v>19.079999999999998</v>
      </c>
      <c r="P133">
        <v>1.5</v>
      </c>
      <c r="Q133" s="9">
        <f t="shared" si="11"/>
        <v>2.3587037763072787</v>
      </c>
    </row>
    <row r="134" spans="2:17" x14ac:dyDescent="0.3">
      <c r="B134" t="s">
        <v>7</v>
      </c>
      <c r="C134" t="s">
        <v>8</v>
      </c>
      <c r="D134" t="s">
        <v>23</v>
      </c>
      <c r="E134" t="s">
        <v>24</v>
      </c>
      <c r="F134">
        <v>2</v>
      </c>
      <c r="G134">
        <v>20.27</v>
      </c>
      <c r="H134">
        <v>2.83</v>
      </c>
      <c r="J134">
        <f t="shared" si="8"/>
        <v>2</v>
      </c>
      <c r="K134">
        <f t="shared" si="9"/>
        <v>1</v>
      </c>
      <c r="L134" cm="1">
        <f t="array" ref="L134">_xlfn.IFS(D134="Sat",1,D134="Sun",2,D134="Thur",3,D134="Fri",4)</f>
        <v>3</v>
      </c>
      <c r="M134">
        <f t="shared" si="10"/>
        <v>1</v>
      </c>
      <c r="N134">
        <v>2</v>
      </c>
      <c r="O134">
        <v>20.27</v>
      </c>
      <c r="P134">
        <v>2.83</v>
      </c>
      <c r="Q134" s="9">
        <f t="shared" si="11"/>
        <v>2.4989783226708617</v>
      </c>
    </row>
    <row r="135" spans="2:17" x14ac:dyDescent="0.3">
      <c r="B135" t="s">
        <v>7</v>
      </c>
      <c r="C135" t="s">
        <v>8</v>
      </c>
      <c r="D135" t="s">
        <v>23</v>
      </c>
      <c r="E135" t="s">
        <v>24</v>
      </c>
      <c r="F135">
        <v>2</v>
      </c>
      <c r="G135">
        <v>11.17</v>
      </c>
      <c r="H135">
        <v>1.5</v>
      </c>
      <c r="J135">
        <f t="shared" si="8"/>
        <v>2</v>
      </c>
      <c r="K135">
        <f t="shared" si="9"/>
        <v>1</v>
      </c>
      <c r="L135" cm="1">
        <f t="array" ref="L135">_xlfn.IFS(D135="Sat",1,D135="Sun",2,D135="Thur",3,D135="Fri",4)</f>
        <v>3</v>
      </c>
      <c r="M135">
        <f t="shared" si="10"/>
        <v>1</v>
      </c>
      <c r="N135">
        <v>2</v>
      </c>
      <c r="O135">
        <v>11.17</v>
      </c>
      <c r="P135">
        <v>1.5</v>
      </c>
      <c r="Q135" s="9">
        <f t="shared" si="11"/>
        <v>1.6429528103166553</v>
      </c>
    </row>
    <row r="136" spans="2:17" x14ac:dyDescent="0.3">
      <c r="B136" t="s">
        <v>7</v>
      </c>
      <c r="C136" t="s">
        <v>8</v>
      </c>
      <c r="D136" t="s">
        <v>23</v>
      </c>
      <c r="E136" t="s">
        <v>24</v>
      </c>
      <c r="F136">
        <v>2</v>
      </c>
      <c r="G136">
        <v>12.26</v>
      </c>
      <c r="H136">
        <v>2</v>
      </c>
      <c r="J136">
        <f t="shared" si="8"/>
        <v>2</v>
      </c>
      <c r="K136">
        <f t="shared" si="9"/>
        <v>1</v>
      </c>
      <c r="L136" cm="1">
        <f t="array" ref="L136">_xlfn.IFS(D136="Sat",1,D136="Sun",2,D136="Thur",3,D136="Fri",4)</f>
        <v>3</v>
      </c>
      <c r="M136">
        <f t="shared" si="10"/>
        <v>1</v>
      </c>
      <c r="N136">
        <v>2</v>
      </c>
      <c r="O136">
        <v>12.26</v>
      </c>
      <c r="P136">
        <v>2</v>
      </c>
      <c r="Q136" s="9">
        <f t="shared" si="11"/>
        <v>1.7454877343239172</v>
      </c>
    </row>
    <row r="137" spans="2:17" x14ac:dyDescent="0.3">
      <c r="B137" t="s">
        <v>7</v>
      </c>
      <c r="C137" t="s">
        <v>8</v>
      </c>
      <c r="D137" t="s">
        <v>23</v>
      </c>
      <c r="E137" t="s">
        <v>24</v>
      </c>
      <c r="F137">
        <v>2</v>
      </c>
      <c r="G137">
        <v>18.260000000000002</v>
      </c>
      <c r="H137">
        <v>3.25</v>
      </c>
      <c r="J137">
        <f t="shared" si="8"/>
        <v>2</v>
      </c>
      <c r="K137">
        <f t="shared" si="9"/>
        <v>1</v>
      </c>
      <c r="L137" cm="1">
        <f t="array" ref="L137">_xlfn.IFS(D137="Sat",1,D137="Sun",2,D137="Thur",3,D137="Fri",4)</f>
        <v>3</v>
      </c>
      <c r="M137">
        <f t="shared" si="10"/>
        <v>1</v>
      </c>
      <c r="N137">
        <v>2</v>
      </c>
      <c r="O137">
        <v>18.260000000000002</v>
      </c>
      <c r="P137">
        <v>3.25</v>
      </c>
      <c r="Q137" s="9">
        <f t="shared" si="11"/>
        <v>2.3099001600519657</v>
      </c>
    </row>
    <row r="138" spans="2:17" x14ac:dyDescent="0.3">
      <c r="B138" t="s">
        <v>7</v>
      </c>
      <c r="C138" t="s">
        <v>8</v>
      </c>
      <c r="D138" t="s">
        <v>23</v>
      </c>
      <c r="E138" t="s">
        <v>24</v>
      </c>
      <c r="F138">
        <v>2</v>
      </c>
      <c r="G138">
        <v>8.51</v>
      </c>
      <c r="H138">
        <v>1.25</v>
      </c>
      <c r="J138">
        <f t="shared" si="8"/>
        <v>2</v>
      </c>
      <c r="K138">
        <f t="shared" si="9"/>
        <v>1</v>
      </c>
      <c r="L138" cm="1">
        <f t="array" ref="L138">_xlfn.IFS(D138="Sat",1,D138="Sun",2,D138="Thur",3,D138="Fri",4)</f>
        <v>3</v>
      </c>
      <c r="M138">
        <f t="shared" si="10"/>
        <v>1</v>
      </c>
      <c r="N138">
        <v>2</v>
      </c>
      <c r="O138">
        <v>8.51</v>
      </c>
      <c r="P138">
        <v>1.25</v>
      </c>
      <c r="Q138" s="9">
        <f t="shared" si="11"/>
        <v>1.3927299682438872</v>
      </c>
    </row>
    <row r="139" spans="2:17" x14ac:dyDescent="0.3">
      <c r="B139" t="s">
        <v>7</v>
      </c>
      <c r="C139" t="s">
        <v>8</v>
      </c>
      <c r="D139" t="s">
        <v>23</v>
      </c>
      <c r="E139" t="s">
        <v>24</v>
      </c>
      <c r="F139">
        <v>2</v>
      </c>
      <c r="G139">
        <v>10.33</v>
      </c>
      <c r="H139">
        <v>2</v>
      </c>
      <c r="J139">
        <f t="shared" si="8"/>
        <v>2</v>
      </c>
      <c r="K139">
        <f t="shared" si="9"/>
        <v>1</v>
      </c>
      <c r="L139" cm="1">
        <f t="array" ref="L139">_xlfn.IFS(D139="Sat",1,D139="Sun",2,D139="Thur",3,D139="Fri",4)</f>
        <v>3</v>
      </c>
      <c r="M139">
        <f t="shared" si="10"/>
        <v>1</v>
      </c>
      <c r="N139">
        <v>2</v>
      </c>
      <c r="O139">
        <v>10.33</v>
      </c>
      <c r="P139">
        <v>2</v>
      </c>
      <c r="Q139" s="9">
        <f t="shared" si="11"/>
        <v>1.5639350707147286</v>
      </c>
    </row>
    <row r="140" spans="2:17" x14ac:dyDescent="0.3">
      <c r="B140" t="s">
        <v>7</v>
      </c>
      <c r="C140" t="s">
        <v>8</v>
      </c>
      <c r="D140" t="s">
        <v>23</v>
      </c>
      <c r="E140" t="s">
        <v>24</v>
      </c>
      <c r="F140">
        <v>2</v>
      </c>
      <c r="G140">
        <v>14.15</v>
      </c>
      <c r="H140">
        <v>2</v>
      </c>
      <c r="J140">
        <f t="shared" si="8"/>
        <v>2</v>
      </c>
      <c r="K140">
        <f t="shared" si="9"/>
        <v>1</v>
      </c>
      <c r="L140" cm="1">
        <f t="array" ref="L140">_xlfn.IFS(D140="Sat",1,D140="Sun",2,D140="Thur",3,D140="Fri",4)</f>
        <v>3</v>
      </c>
      <c r="M140">
        <f t="shared" si="10"/>
        <v>1</v>
      </c>
      <c r="N140">
        <v>2</v>
      </c>
      <c r="O140">
        <v>14.15</v>
      </c>
      <c r="P140">
        <v>2</v>
      </c>
      <c r="Q140" s="9">
        <f t="shared" si="11"/>
        <v>1.9232776484282526</v>
      </c>
    </row>
    <row r="141" spans="2:17" x14ac:dyDescent="0.3">
      <c r="B141" t="s">
        <v>11</v>
      </c>
      <c r="C141" t="s">
        <v>22</v>
      </c>
      <c r="D141" t="s">
        <v>23</v>
      </c>
      <c r="E141" t="s">
        <v>24</v>
      </c>
      <c r="F141">
        <v>2</v>
      </c>
      <c r="G141">
        <v>16</v>
      </c>
      <c r="H141">
        <v>2</v>
      </c>
      <c r="J141">
        <f t="shared" si="8"/>
        <v>1</v>
      </c>
      <c r="K141">
        <f t="shared" si="9"/>
        <v>2</v>
      </c>
      <c r="L141" cm="1">
        <f t="array" ref="L141">_xlfn.IFS(D141="Sat",1,D141="Sun",2,D141="Thur",3,D141="Fri",4)</f>
        <v>3</v>
      </c>
      <c r="M141">
        <f t="shared" si="10"/>
        <v>1</v>
      </c>
      <c r="N141">
        <v>2</v>
      </c>
      <c r="O141">
        <v>16</v>
      </c>
      <c r="P141">
        <v>2</v>
      </c>
      <c r="Q141" s="9">
        <f t="shared" si="11"/>
        <v>1.9834405259609456</v>
      </c>
    </row>
    <row r="142" spans="2:17" x14ac:dyDescent="0.3">
      <c r="B142" t="s">
        <v>7</v>
      </c>
      <c r="C142" t="s">
        <v>8</v>
      </c>
      <c r="D142" t="s">
        <v>23</v>
      </c>
      <c r="E142" t="s">
        <v>24</v>
      </c>
      <c r="F142">
        <v>2</v>
      </c>
      <c r="G142">
        <v>13.16</v>
      </c>
      <c r="H142">
        <v>2.75</v>
      </c>
      <c r="J142">
        <f t="shared" si="8"/>
        <v>2</v>
      </c>
      <c r="K142">
        <f t="shared" si="9"/>
        <v>1</v>
      </c>
      <c r="L142" cm="1">
        <f t="array" ref="L142">_xlfn.IFS(D142="Sat",1,D142="Sun",2,D142="Thur",3,D142="Fri",4)</f>
        <v>3</v>
      </c>
      <c r="M142">
        <f t="shared" si="10"/>
        <v>1</v>
      </c>
      <c r="N142">
        <v>2</v>
      </c>
      <c r="O142">
        <v>13.16</v>
      </c>
      <c r="P142">
        <v>2.75</v>
      </c>
      <c r="Q142" s="9">
        <f t="shared" si="11"/>
        <v>1.8301495981831246</v>
      </c>
    </row>
    <row r="143" spans="2:17" x14ac:dyDescent="0.3">
      <c r="B143" t="s">
        <v>7</v>
      </c>
      <c r="C143" t="s">
        <v>8</v>
      </c>
      <c r="D143" t="s">
        <v>23</v>
      </c>
      <c r="E143" t="s">
        <v>24</v>
      </c>
      <c r="F143">
        <v>2</v>
      </c>
      <c r="G143">
        <v>17.47</v>
      </c>
      <c r="H143">
        <v>3.5</v>
      </c>
      <c r="J143">
        <f t="shared" si="8"/>
        <v>2</v>
      </c>
      <c r="K143">
        <f t="shared" si="9"/>
        <v>1</v>
      </c>
      <c r="L143" cm="1">
        <f t="array" ref="L143">_xlfn.IFS(D143="Sat",1,D143="Sun",2,D143="Thur",3,D143="Fri",4)</f>
        <v>3</v>
      </c>
      <c r="M143">
        <f t="shared" si="10"/>
        <v>1</v>
      </c>
      <c r="N143">
        <v>2</v>
      </c>
      <c r="O143">
        <v>17.47</v>
      </c>
      <c r="P143">
        <v>3.5</v>
      </c>
      <c r="Q143" s="9">
        <f t="shared" si="11"/>
        <v>2.235585857331106</v>
      </c>
    </row>
    <row r="144" spans="2:17" x14ac:dyDescent="0.3">
      <c r="B144" t="s">
        <v>11</v>
      </c>
      <c r="C144" t="s">
        <v>8</v>
      </c>
      <c r="D144" t="s">
        <v>23</v>
      </c>
      <c r="E144" t="s">
        <v>24</v>
      </c>
      <c r="F144">
        <v>6</v>
      </c>
      <c r="G144">
        <v>34.299999999999997</v>
      </c>
      <c r="H144">
        <v>6.7</v>
      </c>
      <c r="J144">
        <f t="shared" si="8"/>
        <v>1</v>
      </c>
      <c r="K144">
        <f t="shared" si="9"/>
        <v>1</v>
      </c>
      <c r="L144" cm="1">
        <f t="array" ref="L144">_xlfn.IFS(D144="Sat",1,D144="Sun",2,D144="Thur",3,D144="Fri",4)</f>
        <v>3</v>
      </c>
      <c r="M144">
        <f t="shared" si="10"/>
        <v>1</v>
      </c>
      <c r="N144">
        <v>6</v>
      </c>
      <c r="O144">
        <v>34.299999999999997</v>
      </c>
      <c r="P144">
        <v>6.7</v>
      </c>
      <c r="Q144" s="9">
        <f t="shared" si="11"/>
        <v>4.5145171136787408</v>
      </c>
    </row>
    <row r="145" spans="2:17" x14ac:dyDescent="0.3">
      <c r="B145" t="s">
        <v>11</v>
      </c>
      <c r="C145" t="s">
        <v>8</v>
      </c>
      <c r="D145" t="s">
        <v>23</v>
      </c>
      <c r="E145" t="s">
        <v>24</v>
      </c>
      <c r="F145">
        <v>5</v>
      </c>
      <c r="G145">
        <v>41.19</v>
      </c>
      <c r="H145">
        <v>5</v>
      </c>
      <c r="J145">
        <f t="shared" si="8"/>
        <v>1</v>
      </c>
      <c r="K145">
        <f t="shared" si="9"/>
        <v>1</v>
      </c>
      <c r="L145" cm="1">
        <f t="array" ref="L145">_xlfn.IFS(D145="Sat",1,D145="Sun",2,D145="Thur",3,D145="Fri",4)</f>
        <v>3</v>
      </c>
      <c r="M145">
        <f t="shared" si="10"/>
        <v>1</v>
      </c>
      <c r="N145">
        <v>5</v>
      </c>
      <c r="O145">
        <v>41.19</v>
      </c>
      <c r="P145">
        <v>5</v>
      </c>
      <c r="Q145" s="9">
        <f t="shared" si="11"/>
        <v>4.9816289281961215</v>
      </c>
    </row>
    <row r="146" spans="2:17" x14ac:dyDescent="0.3">
      <c r="B146" t="s">
        <v>7</v>
      </c>
      <c r="C146" t="s">
        <v>8</v>
      </c>
      <c r="D146" t="s">
        <v>23</v>
      </c>
      <c r="E146" t="s">
        <v>24</v>
      </c>
      <c r="F146">
        <v>6</v>
      </c>
      <c r="G146">
        <v>27.05</v>
      </c>
      <c r="H146">
        <v>5</v>
      </c>
      <c r="J146">
        <f t="shared" si="8"/>
        <v>2</v>
      </c>
      <c r="K146">
        <f t="shared" si="9"/>
        <v>1</v>
      </c>
      <c r="L146" cm="1">
        <f t="array" ref="L146">_xlfn.IFS(D146="Sat",1,D146="Sun",2,D146="Thur",3,D146="Fri",4)</f>
        <v>3</v>
      </c>
      <c r="M146">
        <f t="shared" si="10"/>
        <v>1</v>
      </c>
      <c r="N146">
        <v>6</v>
      </c>
      <c r="O146">
        <v>27.05</v>
      </c>
      <c r="P146">
        <v>5</v>
      </c>
      <c r="Q146" s="9">
        <f t="shared" si="11"/>
        <v>3.860851514518203</v>
      </c>
    </row>
    <row r="147" spans="2:17" x14ac:dyDescent="0.3">
      <c r="B147" t="s">
        <v>7</v>
      </c>
      <c r="C147" t="s">
        <v>8</v>
      </c>
      <c r="D147" t="s">
        <v>23</v>
      </c>
      <c r="E147" t="s">
        <v>24</v>
      </c>
      <c r="F147">
        <v>2</v>
      </c>
      <c r="G147">
        <v>16.43</v>
      </c>
      <c r="H147">
        <v>2.2999999999999998</v>
      </c>
      <c r="J147">
        <f t="shared" si="8"/>
        <v>2</v>
      </c>
      <c r="K147">
        <f t="shared" si="9"/>
        <v>1</v>
      </c>
      <c r="L147" cm="1">
        <f t="array" ref="L147">_xlfn.IFS(D147="Sat",1,D147="Sun",2,D147="Thur",3,D147="Fri",4)</f>
        <v>3</v>
      </c>
      <c r="M147">
        <f t="shared" si="10"/>
        <v>1</v>
      </c>
      <c r="N147">
        <v>2</v>
      </c>
      <c r="O147">
        <v>16.43</v>
      </c>
      <c r="P147">
        <v>2.2999999999999998</v>
      </c>
      <c r="Q147" s="9">
        <f t="shared" si="11"/>
        <v>2.1377543702049109</v>
      </c>
    </row>
    <row r="148" spans="2:17" x14ac:dyDescent="0.3">
      <c r="B148" t="s">
        <v>7</v>
      </c>
      <c r="C148" t="s">
        <v>8</v>
      </c>
      <c r="D148" t="s">
        <v>23</v>
      </c>
      <c r="E148" t="s">
        <v>24</v>
      </c>
      <c r="F148">
        <v>2</v>
      </c>
      <c r="G148">
        <v>8.35</v>
      </c>
      <c r="H148">
        <v>1.5</v>
      </c>
      <c r="J148">
        <f t="shared" si="8"/>
        <v>2</v>
      </c>
      <c r="K148">
        <f t="shared" si="9"/>
        <v>1</v>
      </c>
      <c r="L148" cm="1">
        <f t="array" ref="L148">_xlfn.IFS(D148="Sat",1,D148="Sun",2,D148="Thur",3,D148="Fri",4)</f>
        <v>3</v>
      </c>
      <c r="M148">
        <f t="shared" si="10"/>
        <v>1</v>
      </c>
      <c r="N148">
        <v>2</v>
      </c>
      <c r="O148">
        <v>8.35</v>
      </c>
      <c r="P148">
        <v>1.5</v>
      </c>
      <c r="Q148" s="9">
        <f t="shared" si="11"/>
        <v>1.3776789702244725</v>
      </c>
    </row>
    <row r="149" spans="2:17" x14ac:dyDescent="0.3">
      <c r="B149" t="s">
        <v>7</v>
      </c>
      <c r="C149" t="s">
        <v>8</v>
      </c>
      <c r="D149" t="s">
        <v>23</v>
      </c>
      <c r="E149" t="s">
        <v>24</v>
      </c>
      <c r="F149">
        <v>3</v>
      </c>
      <c r="G149">
        <v>18.64</v>
      </c>
      <c r="H149">
        <v>1.36</v>
      </c>
      <c r="J149">
        <f t="shared" si="8"/>
        <v>2</v>
      </c>
      <c r="K149">
        <f t="shared" si="9"/>
        <v>1</v>
      </c>
      <c r="L149" cm="1">
        <f t="array" ref="L149">_xlfn.IFS(D149="Sat",1,D149="Sun",2,D149="Thur",3,D149="Fri",4)</f>
        <v>3</v>
      </c>
      <c r="M149">
        <f t="shared" si="10"/>
        <v>1</v>
      </c>
      <c r="N149">
        <v>3</v>
      </c>
      <c r="O149">
        <v>18.64</v>
      </c>
      <c r="P149">
        <v>1.36</v>
      </c>
      <c r="Q149" s="9">
        <f t="shared" si="11"/>
        <v>2.526668068041737</v>
      </c>
    </row>
    <row r="150" spans="2:17" x14ac:dyDescent="0.3">
      <c r="B150" t="s">
        <v>7</v>
      </c>
      <c r="C150" t="s">
        <v>8</v>
      </c>
      <c r="D150" t="s">
        <v>23</v>
      </c>
      <c r="E150" t="s">
        <v>24</v>
      </c>
      <c r="F150">
        <v>2</v>
      </c>
      <c r="G150">
        <v>11.87</v>
      </c>
      <c r="H150">
        <v>1.63</v>
      </c>
      <c r="J150">
        <f t="shared" si="8"/>
        <v>2</v>
      </c>
      <c r="K150">
        <f t="shared" si="9"/>
        <v>1</v>
      </c>
      <c r="L150" cm="1">
        <f t="array" ref="L150">_xlfn.IFS(D150="Sat",1,D150="Sun",2,D150="Thur",3,D150="Fri",4)</f>
        <v>3</v>
      </c>
      <c r="M150">
        <f t="shared" si="10"/>
        <v>1</v>
      </c>
      <c r="N150">
        <v>2</v>
      </c>
      <c r="O150">
        <v>11.87</v>
      </c>
      <c r="P150">
        <v>1.63</v>
      </c>
      <c r="Q150" s="9">
        <f t="shared" si="11"/>
        <v>1.708800926651594</v>
      </c>
    </row>
    <row r="151" spans="2:17" x14ac:dyDescent="0.3">
      <c r="B151" t="s">
        <v>11</v>
      </c>
      <c r="C151" t="s">
        <v>8</v>
      </c>
      <c r="D151" t="s">
        <v>23</v>
      </c>
      <c r="E151" t="s">
        <v>24</v>
      </c>
      <c r="F151">
        <v>2</v>
      </c>
      <c r="G151">
        <v>9.7799999999999994</v>
      </c>
      <c r="H151">
        <v>1.73</v>
      </c>
      <c r="J151">
        <f t="shared" si="8"/>
        <v>1</v>
      </c>
      <c r="K151">
        <f t="shared" si="9"/>
        <v>1</v>
      </c>
      <c r="L151" cm="1">
        <f t="array" ref="L151">_xlfn.IFS(D151="Sat",1,D151="Sun",2,D151="Thur",3,D151="Fri",4)</f>
        <v>3</v>
      </c>
      <c r="M151">
        <f t="shared" si="10"/>
        <v>1</v>
      </c>
      <c r="N151">
        <v>2</v>
      </c>
      <c r="O151">
        <v>9.7799999999999994</v>
      </c>
      <c r="P151">
        <v>1.73</v>
      </c>
      <c r="Q151" s="9">
        <f t="shared" si="11"/>
        <v>1.4838645164288038</v>
      </c>
    </row>
    <row r="152" spans="2:17" x14ac:dyDescent="0.3">
      <c r="B152" t="s">
        <v>11</v>
      </c>
      <c r="C152" t="s">
        <v>8</v>
      </c>
      <c r="D152" t="s">
        <v>23</v>
      </c>
      <c r="E152" t="s">
        <v>24</v>
      </c>
      <c r="F152">
        <v>2</v>
      </c>
      <c r="G152">
        <v>7.51</v>
      </c>
      <c r="H152">
        <v>2</v>
      </c>
      <c r="J152">
        <f t="shared" si="8"/>
        <v>1</v>
      </c>
      <c r="K152">
        <f t="shared" si="9"/>
        <v>1</v>
      </c>
      <c r="L152" cm="1">
        <f t="array" ref="L152">_xlfn.IFS(D152="Sat",1,D152="Sun",2,D152="Thur",3,D152="Fri",4)</f>
        <v>3</v>
      </c>
      <c r="M152">
        <f t="shared" si="10"/>
        <v>1</v>
      </c>
      <c r="N152">
        <v>2</v>
      </c>
      <c r="O152">
        <v>7.51</v>
      </c>
      <c r="P152">
        <v>2</v>
      </c>
      <c r="Q152" s="9">
        <f t="shared" si="11"/>
        <v>1.2703284820283591</v>
      </c>
    </row>
    <row r="153" spans="2:17" x14ac:dyDescent="0.3">
      <c r="B153" t="s">
        <v>11</v>
      </c>
      <c r="C153" t="s">
        <v>8</v>
      </c>
      <c r="D153" t="s">
        <v>9</v>
      </c>
      <c r="E153" t="s">
        <v>10</v>
      </c>
      <c r="F153">
        <v>2</v>
      </c>
      <c r="G153">
        <v>14.07</v>
      </c>
      <c r="H153">
        <v>2.5</v>
      </c>
      <c r="J153">
        <f t="shared" si="8"/>
        <v>1</v>
      </c>
      <c r="K153">
        <f t="shared" si="9"/>
        <v>1</v>
      </c>
      <c r="L153" cm="1">
        <f t="array" ref="L153">_xlfn.IFS(D153="Sat",1,D153="Sun",2,D153="Thur",3,D153="Fri",4)</f>
        <v>2</v>
      </c>
      <c r="M153">
        <f t="shared" si="10"/>
        <v>2</v>
      </c>
      <c r="N153">
        <v>2</v>
      </c>
      <c r="O153">
        <v>14.07</v>
      </c>
      <c r="P153">
        <v>2.5</v>
      </c>
      <c r="Q153" s="9">
        <f t="shared" si="11"/>
        <v>1.9154602831990537</v>
      </c>
    </row>
    <row r="154" spans="2:17" x14ac:dyDescent="0.3">
      <c r="B154" t="s">
        <v>11</v>
      </c>
      <c r="C154" t="s">
        <v>8</v>
      </c>
      <c r="D154" t="s">
        <v>9</v>
      </c>
      <c r="E154" t="s">
        <v>10</v>
      </c>
      <c r="F154">
        <v>2</v>
      </c>
      <c r="G154">
        <v>13.13</v>
      </c>
      <c r="H154">
        <v>2</v>
      </c>
      <c r="J154">
        <f t="shared" si="8"/>
        <v>1</v>
      </c>
      <c r="K154">
        <f t="shared" si="9"/>
        <v>1</v>
      </c>
      <c r="L154" cm="1">
        <f t="array" ref="L154">_xlfn.IFS(D154="Sat",1,D154="Sun",2,D154="Thur",3,D154="Fri",4)</f>
        <v>2</v>
      </c>
      <c r="M154">
        <f t="shared" si="10"/>
        <v>2</v>
      </c>
      <c r="N154">
        <v>2</v>
      </c>
      <c r="O154">
        <v>13.13</v>
      </c>
      <c r="P154">
        <v>2</v>
      </c>
      <c r="Q154" s="9">
        <f t="shared" si="11"/>
        <v>1.827035669834993</v>
      </c>
    </row>
    <row r="155" spans="2:17" x14ac:dyDescent="0.3">
      <c r="B155" t="s">
        <v>11</v>
      </c>
      <c r="C155" t="s">
        <v>8</v>
      </c>
      <c r="D155" t="s">
        <v>9</v>
      </c>
      <c r="E155" t="s">
        <v>10</v>
      </c>
      <c r="F155">
        <v>3</v>
      </c>
      <c r="G155">
        <v>17.260000000000002</v>
      </c>
      <c r="H155">
        <v>2.74</v>
      </c>
      <c r="J155">
        <f t="shared" si="8"/>
        <v>1</v>
      </c>
      <c r="K155">
        <f t="shared" si="9"/>
        <v>1</v>
      </c>
      <c r="L155" cm="1">
        <f t="array" ref="L155">_xlfn.IFS(D155="Sat",1,D155="Sun",2,D155="Thur",3,D155="Fri",4)</f>
        <v>2</v>
      </c>
      <c r="M155">
        <f t="shared" si="10"/>
        <v>2</v>
      </c>
      <c r="N155">
        <v>3</v>
      </c>
      <c r="O155">
        <v>17.260000000000002</v>
      </c>
      <c r="P155">
        <v>2.74</v>
      </c>
      <c r="Q155" s="9">
        <f t="shared" si="11"/>
        <v>2.3965613439047946</v>
      </c>
    </row>
    <row r="156" spans="2:17" x14ac:dyDescent="0.3">
      <c r="B156" t="s">
        <v>11</v>
      </c>
      <c r="C156" t="s">
        <v>8</v>
      </c>
      <c r="D156" t="s">
        <v>9</v>
      </c>
      <c r="E156" t="s">
        <v>10</v>
      </c>
      <c r="F156">
        <v>4</v>
      </c>
      <c r="G156">
        <v>24.55</v>
      </c>
      <c r="H156">
        <v>2</v>
      </c>
      <c r="J156">
        <f t="shared" si="8"/>
        <v>1</v>
      </c>
      <c r="K156">
        <f t="shared" si="9"/>
        <v>1</v>
      </c>
      <c r="L156" cm="1">
        <f t="array" ref="L156">_xlfn.IFS(D156="Sat",1,D156="Sun",2,D156="Thur",3,D156="Fri",4)</f>
        <v>2</v>
      </c>
      <c r="M156">
        <f t="shared" si="10"/>
        <v>2</v>
      </c>
      <c r="N156">
        <v>4</v>
      </c>
      <c r="O156">
        <v>24.55</v>
      </c>
      <c r="P156">
        <v>2</v>
      </c>
      <c r="Q156" s="9">
        <f t="shared" si="11"/>
        <v>3.2633442288580348</v>
      </c>
    </row>
    <row r="157" spans="2:17" x14ac:dyDescent="0.3">
      <c r="B157" t="s">
        <v>11</v>
      </c>
      <c r="C157" t="s">
        <v>8</v>
      </c>
      <c r="D157" t="s">
        <v>9</v>
      </c>
      <c r="E157" t="s">
        <v>10</v>
      </c>
      <c r="F157">
        <v>4</v>
      </c>
      <c r="G157">
        <v>19.77</v>
      </c>
      <c r="H157">
        <v>2</v>
      </c>
      <c r="J157">
        <f t="shared" si="8"/>
        <v>1</v>
      </c>
      <c r="K157">
        <f t="shared" si="9"/>
        <v>1</v>
      </c>
      <c r="L157" cm="1">
        <f t="array" ref="L157">_xlfn.IFS(D157="Sat",1,D157="Sun",2,D157="Thur",3,D157="Fri",4)</f>
        <v>2</v>
      </c>
      <c r="M157">
        <f t="shared" si="10"/>
        <v>2</v>
      </c>
      <c r="N157">
        <v>4</v>
      </c>
      <c r="O157">
        <v>19.77</v>
      </c>
      <c r="P157">
        <v>2</v>
      </c>
      <c r="Q157" s="9">
        <f t="shared" si="11"/>
        <v>2.8136956630280228</v>
      </c>
    </row>
    <row r="158" spans="2:17" x14ac:dyDescent="0.3">
      <c r="B158" t="s">
        <v>7</v>
      </c>
      <c r="C158" t="s">
        <v>8</v>
      </c>
      <c r="D158" t="s">
        <v>9</v>
      </c>
      <c r="E158" t="s">
        <v>10</v>
      </c>
      <c r="F158">
        <v>5</v>
      </c>
      <c r="G158">
        <v>29.85</v>
      </c>
      <c r="H158">
        <v>5.14</v>
      </c>
      <c r="J158">
        <f t="shared" si="8"/>
        <v>2</v>
      </c>
      <c r="K158">
        <f t="shared" si="9"/>
        <v>1</v>
      </c>
      <c r="L158" cm="1">
        <f t="array" ref="L158">_xlfn.IFS(D158="Sat",1,D158="Sun",2,D158="Thur",3,D158="Fri",4)</f>
        <v>2</v>
      </c>
      <c r="M158">
        <f t="shared" si="10"/>
        <v>2</v>
      </c>
      <c r="N158">
        <v>5</v>
      </c>
      <c r="O158">
        <v>29.85</v>
      </c>
      <c r="P158">
        <v>5.14</v>
      </c>
      <c r="Q158" s="9">
        <f t="shared" si="11"/>
        <v>3.9712630745389927</v>
      </c>
    </row>
    <row r="159" spans="2:17" x14ac:dyDescent="0.3">
      <c r="B159" t="s">
        <v>11</v>
      </c>
      <c r="C159" t="s">
        <v>8</v>
      </c>
      <c r="D159" t="s">
        <v>9</v>
      </c>
      <c r="E159" t="s">
        <v>10</v>
      </c>
      <c r="F159">
        <v>6</v>
      </c>
      <c r="G159">
        <v>48.17</v>
      </c>
      <c r="H159">
        <v>5</v>
      </c>
      <c r="J159">
        <f t="shared" si="8"/>
        <v>1</v>
      </c>
      <c r="K159">
        <f t="shared" si="9"/>
        <v>1</v>
      </c>
      <c r="L159" cm="1">
        <f t="array" ref="L159">_xlfn.IFS(D159="Sat",1,D159="Sun",2,D159="Thur",3,D159="Fri",4)</f>
        <v>2</v>
      </c>
      <c r="M159">
        <f t="shared" si="10"/>
        <v>2</v>
      </c>
      <c r="N159">
        <v>6</v>
      </c>
      <c r="O159">
        <v>48.17</v>
      </c>
      <c r="P159">
        <v>5</v>
      </c>
      <c r="Q159" s="9">
        <f t="shared" si="11"/>
        <v>5.8472913868614409</v>
      </c>
    </row>
    <row r="160" spans="2:17" x14ac:dyDescent="0.3">
      <c r="B160" t="s">
        <v>7</v>
      </c>
      <c r="C160" t="s">
        <v>8</v>
      </c>
      <c r="D160" t="s">
        <v>9</v>
      </c>
      <c r="E160" t="s">
        <v>10</v>
      </c>
      <c r="F160">
        <v>4</v>
      </c>
      <c r="G160">
        <v>25</v>
      </c>
      <c r="H160">
        <v>3.75</v>
      </c>
      <c r="J160">
        <f t="shared" si="8"/>
        <v>2</v>
      </c>
      <c r="K160">
        <f t="shared" si="9"/>
        <v>1</v>
      </c>
      <c r="L160" cm="1">
        <f t="array" ref="L160">_xlfn.IFS(D160="Sat",1,D160="Sun",2,D160="Thur",3,D160="Fri",4)</f>
        <v>2</v>
      </c>
      <c r="M160">
        <f t="shared" si="10"/>
        <v>2</v>
      </c>
      <c r="N160">
        <v>4</v>
      </c>
      <c r="O160">
        <v>25</v>
      </c>
      <c r="P160">
        <v>3.75</v>
      </c>
      <c r="Q160" s="9">
        <f t="shared" si="11"/>
        <v>3.3340079093818251</v>
      </c>
    </row>
    <row r="161" spans="2:17" x14ac:dyDescent="0.3">
      <c r="B161" t="s">
        <v>7</v>
      </c>
      <c r="C161" t="s">
        <v>8</v>
      </c>
      <c r="D161" t="s">
        <v>9</v>
      </c>
      <c r="E161" t="s">
        <v>10</v>
      </c>
      <c r="F161">
        <v>2</v>
      </c>
      <c r="G161">
        <v>13.39</v>
      </c>
      <c r="H161">
        <v>2.61</v>
      </c>
      <c r="J161">
        <f t="shared" si="8"/>
        <v>2</v>
      </c>
      <c r="K161">
        <f t="shared" si="9"/>
        <v>1</v>
      </c>
      <c r="L161" cm="1">
        <f t="array" ref="L161">_xlfn.IFS(D161="Sat",1,D161="Sun",2,D161="Thur",3,D161="Fri",4)</f>
        <v>2</v>
      </c>
      <c r="M161">
        <f t="shared" si="10"/>
        <v>2</v>
      </c>
      <c r="N161">
        <v>2</v>
      </c>
      <c r="O161">
        <v>13.39</v>
      </c>
      <c r="P161">
        <v>2.61</v>
      </c>
      <c r="Q161" s="9">
        <f t="shared" si="11"/>
        <v>1.8798262902107283</v>
      </c>
    </row>
    <row r="162" spans="2:17" x14ac:dyDescent="0.3">
      <c r="B162" t="s">
        <v>11</v>
      </c>
      <c r="C162" t="s">
        <v>8</v>
      </c>
      <c r="D162" t="s">
        <v>9</v>
      </c>
      <c r="E162" t="s">
        <v>10</v>
      </c>
      <c r="F162">
        <v>4</v>
      </c>
      <c r="G162">
        <v>16.489999999999998</v>
      </c>
      <c r="H162">
        <v>2</v>
      </c>
      <c r="J162">
        <f t="shared" si="8"/>
        <v>1</v>
      </c>
      <c r="K162">
        <f t="shared" si="9"/>
        <v>1</v>
      </c>
      <c r="L162" cm="1">
        <f t="array" ref="L162">_xlfn.IFS(D162="Sat",1,D162="Sun",2,D162="Thur",3,D162="Fri",4)</f>
        <v>2</v>
      </c>
      <c r="M162">
        <f t="shared" si="10"/>
        <v>2</v>
      </c>
      <c r="N162">
        <v>4</v>
      </c>
      <c r="O162">
        <v>16.489999999999998</v>
      </c>
      <c r="P162">
        <v>2</v>
      </c>
      <c r="Q162" s="9">
        <f t="shared" si="11"/>
        <v>2.5051502036300231</v>
      </c>
    </row>
    <row r="163" spans="2:17" x14ac:dyDescent="0.3">
      <c r="B163" t="s">
        <v>11</v>
      </c>
      <c r="C163" t="s">
        <v>8</v>
      </c>
      <c r="D163" t="s">
        <v>9</v>
      </c>
      <c r="E163" t="s">
        <v>10</v>
      </c>
      <c r="F163">
        <v>4</v>
      </c>
      <c r="G163">
        <v>21.5</v>
      </c>
      <c r="H163">
        <v>3.5</v>
      </c>
      <c r="J163">
        <f t="shared" si="8"/>
        <v>1</v>
      </c>
      <c r="K163">
        <f t="shared" si="9"/>
        <v>1</v>
      </c>
      <c r="L163" cm="1">
        <f t="array" ref="L163">_xlfn.IFS(D163="Sat",1,D163="Sun",2,D163="Thur",3,D163="Fri",4)</f>
        <v>2</v>
      </c>
      <c r="M163">
        <f t="shared" si="10"/>
        <v>2</v>
      </c>
      <c r="N163">
        <v>4</v>
      </c>
      <c r="O163">
        <v>21.5</v>
      </c>
      <c r="P163">
        <v>3.5</v>
      </c>
      <c r="Q163" s="9">
        <f t="shared" si="11"/>
        <v>2.9764345791129436</v>
      </c>
    </row>
    <row r="164" spans="2:17" x14ac:dyDescent="0.3">
      <c r="B164" t="s">
        <v>11</v>
      </c>
      <c r="C164" t="s">
        <v>8</v>
      </c>
      <c r="D164" t="s">
        <v>9</v>
      </c>
      <c r="E164" t="s">
        <v>10</v>
      </c>
      <c r="F164">
        <v>2</v>
      </c>
      <c r="G164">
        <v>12.66</v>
      </c>
      <c r="H164">
        <v>2.5</v>
      </c>
      <c r="J164">
        <f t="shared" si="8"/>
        <v>1</v>
      </c>
      <c r="K164">
        <f t="shared" si="9"/>
        <v>1</v>
      </c>
      <c r="L164" cm="1">
        <f t="array" ref="L164">_xlfn.IFS(D164="Sat",1,D164="Sun",2,D164="Thur",3,D164="Fri",4)</f>
        <v>2</v>
      </c>
      <c r="M164">
        <f t="shared" si="10"/>
        <v>2</v>
      </c>
      <c r="N164">
        <v>2</v>
      </c>
      <c r="O164">
        <v>12.66</v>
      </c>
      <c r="P164">
        <v>2.5</v>
      </c>
      <c r="Q164" s="9">
        <f t="shared" si="11"/>
        <v>1.7828233631529624</v>
      </c>
    </row>
    <row r="165" spans="2:17" x14ac:dyDescent="0.3">
      <c r="B165" t="s">
        <v>7</v>
      </c>
      <c r="C165" t="s">
        <v>8</v>
      </c>
      <c r="D165" t="s">
        <v>9</v>
      </c>
      <c r="E165" t="s">
        <v>10</v>
      </c>
      <c r="F165">
        <v>3</v>
      </c>
      <c r="G165">
        <v>16.21</v>
      </c>
      <c r="H165">
        <v>2</v>
      </c>
      <c r="J165">
        <f t="shared" si="8"/>
        <v>2</v>
      </c>
      <c r="K165">
        <f t="shared" si="9"/>
        <v>1</v>
      </c>
      <c r="L165" cm="1">
        <f t="array" ref="L165">_xlfn.IFS(D165="Sat",1,D165="Sun",2,D165="Thur",3,D165="Fri",4)</f>
        <v>2</v>
      </c>
      <c r="M165">
        <f t="shared" si="10"/>
        <v>2</v>
      </c>
      <c r="N165">
        <v>3</v>
      </c>
      <c r="O165">
        <v>16.21</v>
      </c>
      <c r="P165">
        <v>2</v>
      </c>
      <c r="Q165" s="9">
        <f t="shared" si="11"/>
        <v>2.3261219179965726</v>
      </c>
    </row>
    <row r="166" spans="2:17" x14ac:dyDescent="0.3">
      <c r="B166" t="s">
        <v>11</v>
      </c>
      <c r="C166" t="s">
        <v>8</v>
      </c>
      <c r="D166" t="s">
        <v>9</v>
      </c>
      <c r="E166" t="s">
        <v>10</v>
      </c>
      <c r="F166">
        <v>2</v>
      </c>
      <c r="G166">
        <v>13.81</v>
      </c>
      <c r="H166">
        <v>2</v>
      </c>
      <c r="J166">
        <f t="shared" si="8"/>
        <v>1</v>
      </c>
      <c r="K166">
        <f t="shared" si="9"/>
        <v>1</v>
      </c>
      <c r="L166" cm="1">
        <f t="array" ref="L166">_xlfn.IFS(D166="Sat",1,D166="Sun",2,D166="Thur",3,D166="Fri",4)</f>
        <v>2</v>
      </c>
      <c r="M166">
        <f t="shared" si="10"/>
        <v>2</v>
      </c>
      <c r="N166">
        <v>2</v>
      </c>
      <c r="O166">
        <v>13.81</v>
      </c>
      <c r="P166">
        <v>2</v>
      </c>
      <c r="Q166" s="9">
        <f t="shared" si="11"/>
        <v>1.891002411417505</v>
      </c>
    </row>
    <row r="167" spans="2:17" x14ac:dyDescent="0.3">
      <c r="B167" t="s">
        <v>7</v>
      </c>
      <c r="C167" t="s">
        <v>22</v>
      </c>
      <c r="D167" t="s">
        <v>9</v>
      </c>
      <c r="E167" t="s">
        <v>10</v>
      </c>
      <c r="F167">
        <v>2</v>
      </c>
      <c r="G167">
        <v>17.510000000000002</v>
      </c>
      <c r="H167">
        <v>3</v>
      </c>
      <c r="J167">
        <f t="shared" si="8"/>
        <v>2</v>
      </c>
      <c r="K167">
        <f t="shared" si="9"/>
        <v>2</v>
      </c>
      <c r="L167" cm="1">
        <f t="array" ref="L167">_xlfn.IFS(D167="Sat",1,D167="Sun",2,D167="Thur",3,D167="Fri",4)</f>
        <v>2</v>
      </c>
      <c r="M167">
        <f t="shared" si="10"/>
        <v>2</v>
      </c>
      <c r="N167">
        <v>2</v>
      </c>
      <c r="O167">
        <v>17.510000000000002</v>
      </c>
      <c r="P167">
        <v>3</v>
      </c>
      <c r="Q167" s="9">
        <f t="shared" si="11"/>
        <v>2.1818579507380536</v>
      </c>
    </row>
    <row r="168" spans="2:17" x14ac:dyDescent="0.3">
      <c r="B168" t="s">
        <v>11</v>
      </c>
      <c r="C168" t="s">
        <v>8</v>
      </c>
      <c r="D168" t="s">
        <v>9</v>
      </c>
      <c r="E168" t="s">
        <v>10</v>
      </c>
      <c r="F168">
        <v>3</v>
      </c>
      <c r="G168">
        <v>24.52</v>
      </c>
      <c r="H168">
        <v>3.48</v>
      </c>
      <c r="J168">
        <f t="shared" si="8"/>
        <v>1</v>
      </c>
      <c r="K168">
        <f t="shared" si="9"/>
        <v>1</v>
      </c>
      <c r="L168" cm="1">
        <f t="array" ref="L168">_xlfn.IFS(D168="Sat",1,D168="Sun",2,D168="Thur",3,D168="Fri",4)</f>
        <v>2</v>
      </c>
      <c r="M168">
        <f t="shared" si="10"/>
        <v>2</v>
      </c>
      <c r="N168">
        <v>3</v>
      </c>
      <c r="O168">
        <v>24.52</v>
      </c>
      <c r="P168">
        <v>3.48</v>
      </c>
      <c r="Q168" s="9">
        <f t="shared" si="11"/>
        <v>3.0795003790357329</v>
      </c>
    </row>
    <row r="169" spans="2:17" x14ac:dyDescent="0.3">
      <c r="B169" t="s">
        <v>11</v>
      </c>
      <c r="C169" t="s">
        <v>8</v>
      </c>
      <c r="D169" t="s">
        <v>9</v>
      </c>
      <c r="E169" t="s">
        <v>10</v>
      </c>
      <c r="F169">
        <v>2</v>
      </c>
      <c r="G169">
        <v>20.76</v>
      </c>
      <c r="H169">
        <v>2.2400000000000002</v>
      </c>
      <c r="J169">
        <f t="shared" si="8"/>
        <v>1</v>
      </c>
      <c r="K169">
        <f t="shared" si="9"/>
        <v>1</v>
      </c>
      <c r="L169" cm="1">
        <f t="array" ref="L169">_xlfn.IFS(D169="Sat",1,D169="Sun",2,D169="Thur",3,D169="Fri",4)</f>
        <v>2</v>
      </c>
      <c r="M169">
        <f t="shared" si="10"/>
        <v>2</v>
      </c>
      <c r="N169">
        <v>2</v>
      </c>
      <c r="O169">
        <v>20.76</v>
      </c>
      <c r="P169">
        <v>2.2400000000000002</v>
      </c>
      <c r="Q169" s="9">
        <f t="shared" si="11"/>
        <v>2.5447801378858275</v>
      </c>
    </row>
    <row r="170" spans="2:17" x14ac:dyDescent="0.3">
      <c r="B170" t="s">
        <v>11</v>
      </c>
      <c r="C170" t="s">
        <v>8</v>
      </c>
      <c r="D170" t="s">
        <v>9</v>
      </c>
      <c r="E170" t="s">
        <v>10</v>
      </c>
      <c r="F170">
        <v>4</v>
      </c>
      <c r="G170">
        <v>31.71</v>
      </c>
      <c r="H170">
        <v>4.5</v>
      </c>
      <c r="J170">
        <f t="shared" si="8"/>
        <v>1</v>
      </c>
      <c r="K170">
        <f t="shared" si="9"/>
        <v>1</v>
      </c>
      <c r="L170" cm="1">
        <f t="array" ref="L170">_xlfn.IFS(D170="Sat",1,D170="Sun",2,D170="Thur",3,D170="Fri",4)</f>
        <v>2</v>
      </c>
      <c r="M170">
        <f t="shared" si="10"/>
        <v>2</v>
      </c>
      <c r="N170">
        <v>4</v>
      </c>
      <c r="O170">
        <v>31.71</v>
      </c>
      <c r="P170">
        <v>4.5</v>
      </c>
      <c r="Q170" s="9">
        <f t="shared" si="11"/>
        <v>3.9368763902268391</v>
      </c>
    </row>
    <row r="171" spans="2:17" x14ac:dyDescent="0.3">
      <c r="B171" t="s">
        <v>7</v>
      </c>
      <c r="C171" t="s">
        <v>22</v>
      </c>
      <c r="D171" t="s">
        <v>21</v>
      </c>
      <c r="E171" t="s">
        <v>10</v>
      </c>
      <c r="F171">
        <v>2</v>
      </c>
      <c r="G171">
        <v>10.59</v>
      </c>
      <c r="H171">
        <v>1.61</v>
      </c>
      <c r="J171">
        <f t="shared" si="8"/>
        <v>2</v>
      </c>
      <c r="K171">
        <f t="shared" si="9"/>
        <v>2</v>
      </c>
      <c r="L171" cm="1">
        <f t="array" ref="L171">_xlfn.IFS(D171="Sat",1,D171="Sun",2,D171="Thur",3,D171="Fri",4)</f>
        <v>1</v>
      </c>
      <c r="M171">
        <f t="shared" si="10"/>
        <v>2</v>
      </c>
      <c r="N171">
        <v>2</v>
      </c>
      <c r="O171">
        <v>10.59</v>
      </c>
      <c r="P171">
        <v>1.61</v>
      </c>
      <c r="Q171" s="9">
        <f t="shared" si="11"/>
        <v>1.4731556377462502</v>
      </c>
    </row>
    <row r="172" spans="2:17" x14ac:dyDescent="0.3">
      <c r="B172" t="s">
        <v>7</v>
      </c>
      <c r="C172" t="s">
        <v>22</v>
      </c>
      <c r="D172" t="s">
        <v>21</v>
      </c>
      <c r="E172" t="s">
        <v>10</v>
      </c>
      <c r="F172">
        <v>2</v>
      </c>
      <c r="G172">
        <v>10.63</v>
      </c>
      <c r="H172">
        <v>2</v>
      </c>
      <c r="J172">
        <f t="shared" si="8"/>
        <v>2</v>
      </c>
      <c r="K172">
        <f t="shared" si="9"/>
        <v>2</v>
      </c>
      <c r="L172" cm="1">
        <f t="array" ref="L172">_xlfn.IFS(D172="Sat",1,D172="Sun",2,D172="Thur",3,D172="Fri",4)</f>
        <v>1</v>
      </c>
      <c r="M172">
        <f t="shared" si="10"/>
        <v>2</v>
      </c>
      <c r="N172">
        <v>2</v>
      </c>
      <c r="O172">
        <v>10.63</v>
      </c>
      <c r="P172">
        <v>2</v>
      </c>
      <c r="Q172" s="9">
        <f t="shared" si="11"/>
        <v>1.476918387251104</v>
      </c>
    </row>
    <row r="173" spans="2:17" x14ac:dyDescent="0.3">
      <c r="B173" t="s">
        <v>11</v>
      </c>
      <c r="C173" t="s">
        <v>22</v>
      </c>
      <c r="D173" t="s">
        <v>21</v>
      </c>
      <c r="E173" t="s">
        <v>10</v>
      </c>
      <c r="F173">
        <v>3</v>
      </c>
      <c r="G173">
        <v>50.81</v>
      </c>
      <c r="H173">
        <v>10</v>
      </c>
      <c r="J173">
        <f t="shared" si="8"/>
        <v>1</v>
      </c>
      <c r="K173">
        <f t="shared" si="9"/>
        <v>2</v>
      </c>
      <c r="L173" cm="1">
        <f t="array" ref="L173">_xlfn.IFS(D173="Sat",1,D173="Sun",2,D173="Thur",3,D173="Fri",4)</f>
        <v>1</v>
      </c>
      <c r="M173">
        <f t="shared" si="10"/>
        <v>2</v>
      </c>
      <c r="N173">
        <v>3</v>
      </c>
      <c r="O173">
        <v>50.81</v>
      </c>
      <c r="P173">
        <v>10</v>
      </c>
      <c r="Q173" s="9">
        <f t="shared" si="11"/>
        <v>5.4092893039760757</v>
      </c>
    </row>
    <row r="174" spans="2:17" x14ac:dyDescent="0.3">
      <c r="B174" t="s">
        <v>11</v>
      </c>
      <c r="C174" t="s">
        <v>22</v>
      </c>
      <c r="D174" t="s">
        <v>21</v>
      </c>
      <c r="E174" t="s">
        <v>10</v>
      </c>
      <c r="F174">
        <v>2</v>
      </c>
      <c r="G174">
        <v>15.81</v>
      </c>
      <c r="H174">
        <v>3.16</v>
      </c>
      <c r="J174">
        <f t="shared" si="8"/>
        <v>1</v>
      </c>
      <c r="K174">
        <f t="shared" si="9"/>
        <v>2</v>
      </c>
      <c r="L174" cm="1">
        <f t="array" ref="L174">_xlfn.IFS(D174="Sat",1,D174="Sun",2,D174="Thur",3,D174="Fri",4)</f>
        <v>1</v>
      </c>
      <c r="M174">
        <f t="shared" si="10"/>
        <v>2</v>
      </c>
      <c r="N174">
        <v>2</v>
      </c>
      <c r="O174">
        <v>15.81</v>
      </c>
      <c r="P174">
        <v>3.16</v>
      </c>
      <c r="Q174" s="9">
        <f t="shared" si="11"/>
        <v>1.9358616995354656</v>
      </c>
    </row>
    <row r="175" spans="2:17" x14ac:dyDescent="0.3">
      <c r="B175" t="s">
        <v>11</v>
      </c>
      <c r="C175" t="s">
        <v>22</v>
      </c>
      <c r="D175" t="s">
        <v>9</v>
      </c>
      <c r="E175" t="s">
        <v>10</v>
      </c>
      <c r="F175">
        <v>2</v>
      </c>
      <c r="G175">
        <v>7.25</v>
      </c>
      <c r="H175">
        <v>5.15</v>
      </c>
      <c r="J175">
        <f t="shared" si="8"/>
        <v>1</v>
      </c>
      <c r="K175">
        <f t="shared" si="9"/>
        <v>2</v>
      </c>
      <c r="L175" cm="1">
        <f t="array" ref="L175">_xlfn.IFS(D175="Sat",1,D175="Sun",2,D175="Thur",3,D175="Fri",4)</f>
        <v>2</v>
      </c>
      <c r="M175">
        <f t="shared" si="10"/>
        <v>2</v>
      </c>
      <c r="N175">
        <v>2</v>
      </c>
      <c r="O175">
        <v>7.25</v>
      </c>
      <c r="P175">
        <v>5.15</v>
      </c>
      <c r="Q175" s="9">
        <f t="shared" si="11"/>
        <v>1.1883799541489037</v>
      </c>
    </row>
    <row r="176" spans="2:17" x14ac:dyDescent="0.3">
      <c r="B176" t="s">
        <v>11</v>
      </c>
      <c r="C176" t="s">
        <v>22</v>
      </c>
      <c r="D176" t="s">
        <v>9</v>
      </c>
      <c r="E176" t="s">
        <v>10</v>
      </c>
      <c r="F176">
        <v>2</v>
      </c>
      <c r="G176">
        <v>31.85</v>
      </c>
      <c r="H176">
        <v>3.18</v>
      </c>
      <c r="J176">
        <f t="shared" si="8"/>
        <v>1</v>
      </c>
      <c r="K176">
        <f t="shared" si="9"/>
        <v>2</v>
      </c>
      <c r="L176" cm="1">
        <f t="array" ref="L176">_xlfn.IFS(D176="Sat",1,D176="Sun",2,D176="Thur",3,D176="Fri",4)</f>
        <v>2</v>
      </c>
      <c r="M176">
        <f t="shared" si="10"/>
        <v>2</v>
      </c>
      <c r="N176">
        <v>2</v>
      </c>
      <c r="O176">
        <v>31.85</v>
      </c>
      <c r="P176">
        <v>3.18</v>
      </c>
      <c r="Q176" s="9">
        <f t="shared" si="11"/>
        <v>3.5024708996339018</v>
      </c>
    </row>
    <row r="177" spans="2:17" x14ac:dyDescent="0.3">
      <c r="B177" t="s">
        <v>11</v>
      </c>
      <c r="C177" t="s">
        <v>22</v>
      </c>
      <c r="D177" t="s">
        <v>9</v>
      </c>
      <c r="E177" t="s">
        <v>10</v>
      </c>
      <c r="F177">
        <v>2</v>
      </c>
      <c r="G177">
        <v>16.82</v>
      </c>
      <c r="H177">
        <v>4</v>
      </c>
      <c r="J177">
        <f t="shared" si="8"/>
        <v>1</v>
      </c>
      <c r="K177">
        <f t="shared" si="9"/>
        <v>2</v>
      </c>
      <c r="L177" cm="1">
        <f t="array" ref="L177">_xlfn.IFS(D177="Sat",1,D177="Sun",2,D177="Thur",3,D177="Fri",4)</f>
        <v>2</v>
      </c>
      <c r="M177">
        <f t="shared" si="10"/>
        <v>2</v>
      </c>
      <c r="N177">
        <v>2</v>
      </c>
      <c r="O177">
        <v>16.82</v>
      </c>
      <c r="P177">
        <v>4</v>
      </c>
      <c r="Q177" s="9">
        <f t="shared" si="11"/>
        <v>2.088617773185141</v>
      </c>
    </row>
    <row r="178" spans="2:17" x14ac:dyDescent="0.3">
      <c r="B178" t="s">
        <v>11</v>
      </c>
      <c r="C178" t="s">
        <v>22</v>
      </c>
      <c r="D178" t="s">
        <v>9</v>
      </c>
      <c r="E178" t="s">
        <v>10</v>
      </c>
      <c r="F178">
        <v>2</v>
      </c>
      <c r="G178">
        <v>32.9</v>
      </c>
      <c r="H178">
        <v>3.11</v>
      </c>
      <c r="J178">
        <f t="shared" si="8"/>
        <v>1</v>
      </c>
      <c r="K178">
        <f t="shared" si="9"/>
        <v>2</v>
      </c>
      <c r="L178" cm="1">
        <f t="array" ref="L178">_xlfn.IFS(D178="Sat",1,D178="Sun",2,D178="Thur",3,D178="Fri",4)</f>
        <v>2</v>
      </c>
      <c r="M178">
        <f t="shared" si="10"/>
        <v>2</v>
      </c>
      <c r="N178">
        <v>2</v>
      </c>
      <c r="O178">
        <v>32.9</v>
      </c>
      <c r="P178">
        <v>3.11</v>
      </c>
      <c r="Q178" s="9">
        <f t="shared" si="11"/>
        <v>3.6012430741363097</v>
      </c>
    </row>
    <row r="179" spans="2:17" x14ac:dyDescent="0.3">
      <c r="B179" t="s">
        <v>11</v>
      </c>
      <c r="C179" t="s">
        <v>22</v>
      </c>
      <c r="D179" t="s">
        <v>9</v>
      </c>
      <c r="E179" t="s">
        <v>10</v>
      </c>
      <c r="F179">
        <v>2</v>
      </c>
      <c r="G179">
        <v>17.89</v>
      </c>
      <c r="H179">
        <v>2</v>
      </c>
      <c r="J179">
        <f t="shared" si="8"/>
        <v>1</v>
      </c>
      <c r="K179">
        <f t="shared" si="9"/>
        <v>2</v>
      </c>
      <c r="L179" cm="1">
        <f t="array" ref="L179">_xlfn.IFS(D179="Sat",1,D179="Sun",2,D179="Thur",3,D179="Fri",4)</f>
        <v>2</v>
      </c>
      <c r="M179">
        <f t="shared" si="10"/>
        <v>2</v>
      </c>
      <c r="N179">
        <v>2</v>
      </c>
      <c r="O179">
        <v>17.89</v>
      </c>
      <c r="P179">
        <v>2</v>
      </c>
      <c r="Q179" s="9">
        <f t="shared" si="11"/>
        <v>2.1892713224399762</v>
      </c>
    </row>
    <row r="180" spans="2:17" x14ac:dyDescent="0.3">
      <c r="B180" t="s">
        <v>11</v>
      </c>
      <c r="C180" t="s">
        <v>22</v>
      </c>
      <c r="D180" t="s">
        <v>9</v>
      </c>
      <c r="E180" t="s">
        <v>10</v>
      </c>
      <c r="F180">
        <v>2</v>
      </c>
      <c r="G180">
        <v>14.48</v>
      </c>
      <c r="H180">
        <v>2</v>
      </c>
      <c r="J180">
        <f t="shared" si="8"/>
        <v>1</v>
      </c>
      <c r="K180">
        <f t="shared" si="9"/>
        <v>2</v>
      </c>
      <c r="L180" cm="1">
        <f t="array" ref="L180">_xlfn.IFS(D180="Sat",1,D180="Sun",2,D180="Thur",3,D180="Fri",4)</f>
        <v>2</v>
      </c>
      <c r="M180">
        <f t="shared" si="10"/>
        <v>2</v>
      </c>
      <c r="N180">
        <v>2</v>
      </c>
      <c r="O180">
        <v>14.48</v>
      </c>
      <c r="P180">
        <v>2</v>
      </c>
      <c r="Q180" s="9">
        <f t="shared" si="11"/>
        <v>1.868496927151202</v>
      </c>
    </row>
    <row r="181" spans="2:17" x14ac:dyDescent="0.3">
      <c r="B181" t="s">
        <v>7</v>
      </c>
      <c r="C181" t="s">
        <v>22</v>
      </c>
      <c r="D181" t="s">
        <v>9</v>
      </c>
      <c r="E181" t="s">
        <v>10</v>
      </c>
      <c r="F181">
        <v>2</v>
      </c>
      <c r="G181">
        <v>9.6</v>
      </c>
      <c r="H181">
        <v>4</v>
      </c>
      <c r="J181">
        <f t="shared" si="8"/>
        <v>2</v>
      </c>
      <c r="K181">
        <f t="shared" si="9"/>
        <v>2</v>
      </c>
      <c r="L181" cm="1">
        <f t="array" ref="L181">_xlfn.IFS(D181="Sat",1,D181="Sun",2,D181="Thur",3,D181="Fri",4)</f>
        <v>2</v>
      </c>
      <c r="M181">
        <f t="shared" si="10"/>
        <v>2</v>
      </c>
      <c r="N181">
        <v>2</v>
      </c>
      <c r="O181">
        <v>9.6</v>
      </c>
      <c r="P181">
        <v>4</v>
      </c>
      <c r="Q181" s="9">
        <f t="shared" si="11"/>
        <v>1.4377742361532428</v>
      </c>
    </row>
    <row r="182" spans="2:17" x14ac:dyDescent="0.3">
      <c r="B182" t="s">
        <v>11</v>
      </c>
      <c r="C182" t="s">
        <v>22</v>
      </c>
      <c r="D182" t="s">
        <v>9</v>
      </c>
      <c r="E182" t="s">
        <v>10</v>
      </c>
      <c r="F182">
        <v>2</v>
      </c>
      <c r="G182">
        <v>34.630000000000003</v>
      </c>
      <c r="H182">
        <v>3.55</v>
      </c>
      <c r="J182">
        <f t="shared" si="8"/>
        <v>1</v>
      </c>
      <c r="K182">
        <f t="shared" si="9"/>
        <v>2</v>
      </c>
      <c r="L182" cm="1">
        <f t="array" ref="L182">_xlfn.IFS(D182="Sat",1,D182="Sun",2,D182="Thur",3,D182="Fri",4)</f>
        <v>2</v>
      </c>
      <c r="M182">
        <f t="shared" si="10"/>
        <v>2</v>
      </c>
      <c r="N182">
        <v>2</v>
      </c>
      <c r="O182">
        <v>34.630000000000003</v>
      </c>
      <c r="P182">
        <v>3.55</v>
      </c>
      <c r="Q182" s="9">
        <f t="shared" si="11"/>
        <v>3.763981990221231</v>
      </c>
    </row>
    <row r="183" spans="2:17" x14ac:dyDescent="0.3">
      <c r="B183" t="s">
        <v>11</v>
      </c>
      <c r="C183" t="s">
        <v>22</v>
      </c>
      <c r="D183" t="s">
        <v>9</v>
      </c>
      <c r="E183" t="s">
        <v>10</v>
      </c>
      <c r="F183">
        <v>4</v>
      </c>
      <c r="G183">
        <v>34.65</v>
      </c>
      <c r="H183">
        <v>3.68</v>
      </c>
      <c r="J183">
        <f t="shared" si="8"/>
        <v>1</v>
      </c>
      <c r="K183">
        <f t="shared" si="9"/>
        <v>2</v>
      </c>
      <c r="L183" cm="1">
        <f t="array" ref="L183">_xlfn.IFS(D183="Sat",1,D183="Sun",2,D183="Thur",3,D183="Fri",4)</f>
        <v>2</v>
      </c>
      <c r="M183">
        <f t="shared" si="10"/>
        <v>2</v>
      </c>
      <c r="N183">
        <v>4</v>
      </c>
      <c r="O183">
        <v>34.65</v>
      </c>
      <c r="P183">
        <v>3.68</v>
      </c>
      <c r="Q183" s="9">
        <f t="shared" si="11"/>
        <v>4.1279069403609814</v>
      </c>
    </row>
    <row r="184" spans="2:17" x14ac:dyDescent="0.3">
      <c r="B184" t="s">
        <v>11</v>
      </c>
      <c r="C184" t="s">
        <v>22</v>
      </c>
      <c r="D184" t="s">
        <v>9</v>
      </c>
      <c r="E184" t="s">
        <v>10</v>
      </c>
      <c r="F184">
        <v>2</v>
      </c>
      <c r="G184">
        <v>23.33</v>
      </c>
      <c r="H184">
        <v>5.65</v>
      </c>
      <c r="J184">
        <f t="shared" si="8"/>
        <v>1</v>
      </c>
      <c r="K184">
        <f t="shared" si="9"/>
        <v>2</v>
      </c>
      <c r="L184" cm="1">
        <f t="array" ref="L184">_xlfn.IFS(D184="Sat",1,D184="Sun",2,D184="Thur",3,D184="Fri",4)</f>
        <v>2</v>
      </c>
      <c r="M184">
        <f t="shared" si="10"/>
        <v>2</v>
      </c>
      <c r="N184">
        <v>2</v>
      </c>
      <c r="O184">
        <v>23.33</v>
      </c>
      <c r="P184">
        <v>5.65</v>
      </c>
      <c r="Q184" s="9">
        <f t="shared" si="11"/>
        <v>2.7010052551000729</v>
      </c>
    </row>
    <row r="185" spans="2:17" x14ac:dyDescent="0.3">
      <c r="B185" t="s">
        <v>11</v>
      </c>
      <c r="C185" t="s">
        <v>22</v>
      </c>
      <c r="D185" t="s">
        <v>9</v>
      </c>
      <c r="E185" t="s">
        <v>10</v>
      </c>
      <c r="F185">
        <v>3</v>
      </c>
      <c r="G185">
        <v>45.35</v>
      </c>
      <c r="H185">
        <v>3.5</v>
      </c>
      <c r="J185">
        <f t="shared" si="8"/>
        <v>1</v>
      </c>
      <c r="K185">
        <f t="shared" si="9"/>
        <v>2</v>
      </c>
      <c r="L185" cm="1">
        <f t="array" ref="L185">_xlfn.IFS(D185="Sat",1,D185="Sun",2,D185="Thur",3,D185="Fri",4)</f>
        <v>2</v>
      </c>
      <c r="M185">
        <f t="shared" si="10"/>
        <v>2</v>
      </c>
      <c r="N185">
        <v>3</v>
      </c>
      <c r="O185">
        <v>45.35</v>
      </c>
      <c r="P185">
        <v>3.5</v>
      </c>
      <c r="Q185" s="9">
        <f t="shared" si="11"/>
        <v>4.9534206452156724</v>
      </c>
    </row>
    <row r="186" spans="2:17" x14ac:dyDescent="0.3">
      <c r="B186" t="s">
        <v>11</v>
      </c>
      <c r="C186" t="s">
        <v>22</v>
      </c>
      <c r="D186" t="s">
        <v>9</v>
      </c>
      <c r="E186" t="s">
        <v>10</v>
      </c>
      <c r="F186">
        <v>4</v>
      </c>
      <c r="G186">
        <v>23.17</v>
      </c>
      <c r="H186">
        <v>6.5</v>
      </c>
      <c r="J186">
        <f t="shared" si="8"/>
        <v>1</v>
      </c>
      <c r="K186">
        <f t="shared" si="9"/>
        <v>2</v>
      </c>
      <c r="L186" cm="1">
        <f t="array" ref="L186">_xlfn.IFS(D186="Sat",1,D186="Sun",2,D186="Thur",3,D186="Fri",4)</f>
        <v>2</v>
      </c>
      <c r="M186">
        <f t="shared" si="10"/>
        <v>2</v>
      </c>
      <c r="N186">
        <v>4</v>
      </c>
      <c r="O186">
        <v>23.17</v>
      </c>
      <c r="P186">
        <v>6.5</v>
      </c>
      <c r="Q186" s="9">
        <f t="shared" si="11"/>
        <v>3.0479978324679822</v>
      </c>
    </row>
    <row r="187" spans="2:17" x14ac:dyDescent="0.3">
      <c r="B187" t="s">
        <v>11</v>
      </c>
      <c r="C187" t="s">
        <v>22</v>
      </c>
      <c r="D187" t="s">
        <v>9</v>
      </c>
      <c r="E187" t="s">
        <v>10</v>
      </c>
      <c r="F187">
        <v>2</v>
      </c>
      <c r="G187">
        <v>40.549999999999997</v>
      </c>
      <c r="H187">
        <v>3</v>
      </c>
      <c r="J187">
        <f t="shared" si="8"/>
        <v>1</v>
      </c>
      <c r="K187">
        <f t="shared" si="9"/>
        <v>2</v>
      </c>
      <c r="L187" cm="1">
        <f t="array" ref="L187">_xlfn.IFS(D187="Sat",1,D187="Sun",2,D187="Thur",3,D187="Fri",4)</f>
        <v>2</v>
      </c>
      <c r="M187">
        <f t="shared" si="10"/>
        <v>2</v>
      </c>
      <c r="N187">
        <v>2</v>
      </c>
      <c r="O187">
        <v>40.549999999999997</v>
      </c>
      <c r="P187">
        <v>3</v>
      </c>
      <c r="Q187" s="9">
        <f t="shared" si="11"/>
        <v>4.3208689169395713</v>
      </c>
    </row>
    <row r="188" spans="2:17" x14ac:dyDescent="0.3">
      <c r="B188" t="s">
        <v>11</v>
      </c>
      <c r="C188" t="s">
        <v>8</v>
      </c>
      <c r="D188" t="s">
        <v>9</v>
      </c>
      <c r="E188" t="s">
        <v>10</v>
      </c>
      <c r="F188">
        <v>5</v>
      </c>
      <c r="G188">
        <v>20.69</v>
      </c>
      <c r="H188">
        <v>5</v>
      </c>
      <c r="J188">
        <f t="shared" si="8"/>
        <v>1</v>
      </c>
      <c r="K188">
        <f t="shared" si="9"/>
        <v>1</v>
      </c>
      <c r="L188" cm="1">
        <f t="array" ref="L188">_xlfn.IFS(D188="Sat",1,D188="Sun",2,D188="Thur",3,D188="Fri",4)</f>
        <v>2</v>
      </c>
      <c r="M188">
        <f t="shared" si="10"/>
        <v>2</v>
      </c>
      <c r="N188">
        <v>5</v>
      </c>
      <c r="O188">
        <v>20.69</v>
      </c>
      <c r="P188">
        <v>5</v>
      </c>
      <c r="Q188" s="9">
        <f t="shared" si="11"/>
        <v>3.0812606893333188</v>
      </c>
    </row>
    <row r="189" spans="2:17" x14ac:dyDescent="0.3">
      <c r="B189" t="s">
        <v>7</v>
      </c>
      <c r="C189" t="s">
        <v>22</v>
      </c>
      <c r="D189" t="s">
        <v>9</v>
      </c>
      <c r="E189" t="s">
        <v>10</v>
      </c>
      <c r="F189">
        <v>3</v>
      </c>
      <c r="G189">
        <v>20.9</v>
      </c>
      <c r="H189">
        <v>3.5</v>
      </c>
      <c r="J189">
        <f t="shared" si="8"/>
        <v>2</v>
      </c>
      <c r="K189">
        <f t="shared" si="9"/>
        <v>2</v>
      </c>
      <c r="L189" cm="1">
        <f t="array" ref="L189">_xlfn.IFS(D189="Sat",1,D189="Sun",2,D189="Thur",3,D189="Fri",4)</f>
        <v>2</v>
      </c>
      <c r="M189">
        <f t="shared" si="10"/>
        <v>2</v>
      </c>
      <c r="N189">
        <v>3</v>
      </c>
      <c r="O189">
        <v>20.9</v>
      </c>
      <c r="P189">
        <v>3.5</v>
      </c>
      <c r="Q189" s="9">
        <f t="shared" si="11"/>
        <v>2.6817727589680618</v>
      </c>
    </row>
    <row r="190" spans="2:17" x14ac:dyDescent="0.3">
      <c r="B190" t="s">
        <v>11</v>
      </c>
      <c r="C190" t="s">
        <v>22</v>
      </c>
      <c r="D190" t="s">
        <v>9</v>
      </c>
      <c r="E190" t="s">
        <v>10</v>
      </c>
      <c r="F190">
        <v>5</v>
      </c>
      <c r="G190">
        <v>30.46</v>
      </c>
      <c r="H190">
        <v>2</v>
      </c>
      <c r="J190">
        <f t="shared" si="8"/>
        <v>1</v>
      </c>
      <c r="K190">
        <f t="shared" si="9"/>
        <v>2</v>
      </c>
      <c r="L190" cm="1">
        <f t="array" ref="L190">_xlfn.IFS(D190="Sat",1,D190="Sun",2,D190="Thur",3,D190="Fri",4)</f>
        <v>2</v>
      </c>
      <c r="M190">
        <f t="shared" si="10"/>
        <v>2</v>
      </c>
      <c r="N190">
        <v>5</v>
      </c>
      <c r="O190">
        <v>30.46</v>
      </c>
      <c r="P190">
        <v>2</v>
      </c>
      <c r="Q190" s="9">
        <f t="shared" si="11"/>
        <v>3.9147807174212224</v>
      </c>
    </row>
    <row r="191" spans="2:17" x14ac:dyDescent="0.3">
      <c r="B191" t="s">
        <v>7</v>
      </c>
      <c r="C191" t="s">
        <v>22</v>
      </c>
      <c r="D191" t="s">
        <v>9</v>
      </c>
      <c r="E191" t="s">
        <v>10</v>
      </c>
      <c r="F191">
        <v>3</v>
      </c>
      <c r="G191">
        <v>18.149999999999999</v>
      </c>
      <c r="H191">
        <v>3.5</v>
      </c>
      <c r="J191">
        <f t="shared" si="8"/>
        <v>2</v>
      </c>
      <c r="K191">
        <f t="shared" si="9"/>
        <v>2</v>
      </c>
      <c r="L191" cm="1">
        <f t="array" ref="L191">_xlfn.IFS(D191="Sat",1,D191="Sun",2,D191="Thur",3,D191="Fri",4)</f>
        <v>2</v>
      </c>
      <c r="M191">
        <f t="shared" si="10"/>
        <v>2</v>
      </c>
      <c r="N191">
        <v>3</v>
      </c>
      <c r="O191">
        <v>18.149999999999999</v>
      </c>
      <c r="P191">
        <v>3.5</v>
      </c>
      <c r="Q191" s="9">
        <f t="shared" si="11"/>
        <v>2.4230837305093731</v>
      </c>
    </row>
    <row r="192" spans="2:17" x14ac:dyDescent="0.3">
      <c r="B192" t="s">
        <v>11</v>
      </c>
      <c r="C192" t="s">
        <v>22</v>
      </c>
      <c r="D192" t="s">
        <v>9</v>
      </c>
      <c r="E192" t="s">
        <v>10</v>
      </c>
      <c r="F192">
        <v>3</v>
      </c>
      <c r="G192">
        <v>23.1</v>
      </c>
      <c r="H192">
        <v>4</v>
      </c>
      <c r="J192">
        <f t="shared" si="8"/>
        <v>1</v>
      </c>
      <c r="K192">
        <f t="shared" si="9"/>
        <v>2</v>
      </c>
      <c r="L192" cm="1">
        <f t="array" ref="L192">_xlfn.IFS(D192="Sat",1,D192="Sun",2,D192="Thur",3,D192="Fri",4)</f>
        <v>2</v>
      </c>
      <c r="M192">
        <f t="shared" si="10"/>
        <v>2</v>
      </c>
      <c r="N192">
        <v>3</v>
      </c>
      <c r="O192">
        <v>23.1</v>
      </c>
      <c r="P192">
        <v>4</v>
      </c>
      <c r="Q192" s="9">
        <f t="shared" si="11"/>
        <v>2.8603912331408266</v>
      </c>
    </row>
    <row r="193" spans="2:17" x14ac:dyDescent="0.3">
      <c r="B193" t="s">
        <v>11</v>
      </c>
      <c r="C193" t="s">
        <v>22</v>
      </c>
      <c r="D193" t="s">
        <v>9</v>
      </c>
      <c r="E193" t="s">
        <v>10</v>
      </c>
      <c r="F193">
        <v>2</v>
      </c>
      <c r="G193">
        <v>15.69</v>
      </c>
      <c r="H193">
        <v>1.5</v>
      </c>
      <c r="J193">
        <f t="shared" si="8"/>
        <v>1</v>
      </c>
      <c r="K193">
        <f t="shared" si="9"/>
        <v>2</v>
      </c>
      <c r="L193" cm="1">
        <f t="array" ref="L193">_xlfn.IFS(D193="Sat",1,D193="Sun",2,D193="Thur",3,D193="Fri",4)</f>
        <v>2</v>
      </c>
      <c r="M193">
        <f t="shared" si="10"/>
        <v>2</v>
      </c>
      <c r="N193">
        <v>2</v>
      </c>
      <c r="O193">
        <v>15.69</v>
      </c>
      <c r="P193">
        <v>1.5</v>
      </c>
      <c r="Q193" s="9">
        <f t="shared" si="11"/>
        <v>1.982320099673025</v>
      </c>
    </row>
    <row r="194" spans="2:17" x14ac:dyDescent="0.3">
      <c r="B194" t="s">
        <v>7</v>
      </c>
      <c r="C194" t="s">
        <v>22</v>
      </c>
      <c r="D194" t="s">
        <v>23</v>
      </c>
      <c r="E194" t="s">
        <v>24</v>
      </c>
      <c r="F194">
        <v>2</v>
      </c>
      <c r="G194">
        <v>19.809999999999999</v>
      </c>
      <c r="H194">
        <v>4.1900000000000004</v>
      </c>
      <c r="J194">
        <f t="shared" si="8"/>
        <v>2</v>
      </c>
      <c r="K194">
        <f t="shared" si="9"/>
        <v>2</v>
      </c>
      <c r="L194" cm="1">
        <f t="array" ref="L194">_xlfn.IFS(D194="Sat",1,D194="Sun",2,D194="Thur",3,D194="Fri",4)</f>
        <v>3</v>
      </c>
      <c r="M194">
        <f t="shared" si="10"/>
        <v>1</v>
      </c>
      <c r="N194">
        <v>2</v>
      </c>
      <c r="O194">
        <v>19.809999999999999</v>
      </c>
      <c r="P194">
        <v>4.1900000000000004</v>
      </c>
      <c r="Q194" s="9">
        <f t="shared" si="11"/>
        <v>2.3701751648924425</v>
      </c>
    </row>
    <row r="195" spans="2:17" x14ac:dyDescent="0.3">
      <c r="B195" t="s">
        <v>11</v>
      </c>
      <c r="C195" t="s">
        <v>22</v>
      </c>
      <c r="D195" t="s">
        <v>23</v>
      </c>
      <c r="E195" t="s">
        <v>24</v>
      </c>
      <c r="F195">
        <v>2</v>
      </c>
      <c r="G195">
        <v>28.44</v>
      </c>
      <c r="H195">
        <v>2.56</v>
      </c>
      <c r="J195">
        <f t="shared" si="8"/>
        <v>1</v>
      </c>
      <c r="K195">
        <f t="shared" si="9"/>
        <v>2</v>
      </c>
      <c r="L195" cm="1">
        <f t="array" ref="L195">_xlfn.IFS(D195="Sat",1,D195="Sun",2,D195="Thur",3,D195="Fri",4)</f>
        <v>3</v>
      </c>
      <c r="M195">
        <f t="shared" si="10"/>
        <v>1</v>
      </c>
      <c r="N195">
        <v>2</v>
      </c>
      <c r="O195">
        <v>28.44</v>
      </c>
      <c r="P195">
        <v>2.56</v>
      </c>
      <c r="Q195" s="9">
        <f t="shared" si="11"/>
        <v>3.1536556219704321</v>
      </c>
    </row>
    <row r="196" spans="2:17" x14ac:dyDescent="0.3">
      <c r="B196" t="s">
        <v>11</v>
      </c>
      <c r="C196" t="s">
        <v>22</v>
      </c>
      <c r="D196" t="s">
        <v>23</v>
      </c>
      <c r="E196" t="s">
        <v>24</v>
      </c>
      <c r="F196">
        <v>2</v>
      </c>
      <c r="G196">
        <v>15.48</v>
      </c>
      <c r="H196">
        <v>2.02</v>
      </c>
      <c r="J196">
        <f t="shared" ref="J196:J245" si="12">IF(B196 = "Female",2,1)</f>
        <v>1</v>
      </c>
      <c r="K196">
        <f t="shared" ref="K196:K245" si="13">IF(C196="No",1,2)</f>
        <v>2</v>
      </c>
      <c r="L196" cm="1">
        <f t="array" ref="L196">_xlfn.IFS(D196="Sat",1,D196="Sun",2,D196="Thur",3,D196="Fri",4)</f>
        <v>3</v>
      </c>
      <c r="M196">
        <f t="shared" ref="M196:M245" si="14">IF(E196="Lunch",1,2)</f>
        <v>1</v>
      </c>
      <c r="N196">
        <v>2</v>
      </c>
      <c r="O196">
        <v>15.48</v>
      </c>
      <c r="P196">
        <v>2.02</v>
      </c>
      <c r="Q196" s="9">
        <f t="shared" ref="Q196:Q245" si="15">J196*$T$4+K196*$T$5+L196*$T$6+M196*$T$7+N196*$T$8+O196*$T$9</f>
        <v>1.934524782397848</v>
      </c>
    </row>
    <row r="197" spans="2:17" x14ac:dyDescent="0.3">
      <c r="B197" t="s">
        <v>11</v>
      </c>
      <c r="C197" t="s">
        <v>22</v>
      </c>
      <c r="D197" t="s">
        <v>23</v>
      </c>
      <c r="E197" t="s">
        <v>24</v>
      </c>
      <c r="F197">
        <v>2</v>
      </c>
      <c r="G197">
        <v>16.579999999999998</v>
      </c>
      <c r="H197">
        <v>4</v>
      </c>
      <c r="J197">
        <f t="shared" si="12"/>
        <v>1</v>
      </c>
      <c r="K197">
        <f t="shared" si="13"/>
        <v>2</v>
      </c>
      <c r="L197" cm="1">
        <f t="array" ref="L197">_xlfn.IFS(D197="Sat",1,D197="Sun",2,D197="Thur",3,D197="Fri",4)</f>
        <v>3</v>
      </c>
      <c r="M197">
        <f t="shared" si="14"/>
        <v>1</v>
      </c>
      <c r="N197">
        <v>2</v>
      </c>
      <c r="O197">
        <v>16.579999999999998</v>
      </c>
      <c r="P197">
        <v>4</v>
      </c>
      <c r="Q197" s="9">
        <f t="shared" si="15"/>
        <v>2.0380003937813234</v>
      </c>
    </row>
    <row r="198" spans="2:17" x14ac:dyDescent="0.3">
      <c r="B198" t="s">
        <v>11</v>
      </c>
      <c r="C198" t="s">
        <v>8</v>
      </c>
      <c r="D198" t="s">
        <v>23</v>
      </c>
      <c r="E198" t="s">
        <v>24</v>
      </c>
      <c r="F198">
        <v>2</v>
      </c>
      <c r="G198">
        <v>7.56</v>
      </c>
      <c r="H198">
        <v>1.44</v>
      </c>
      <c r="J198">
        <f t="shared" si="12"/>
        <v>1</v>
      </c>
      <c r="K198">
        <f t="shared" si="13"/>
        <v>1</v>
      </c>
      <c r="L198" cm="1">
        <f t="array" ref="L198">_xlfn.IFS(D198="Sat",1,D198="Sun",2,D198="Thur",3,D198="Fri",4)</f>
        <v>3</v>
      </c>
      <c r="M198">
        <f t="shared" si="14"/>
        <v>1</v>
      </c>
      <c r="N198">
        <v>2</v>
      </c>
      <c r="O198">
        <v>7.56</v>
      </c>
      <c r="P198">
        <v>1.44</v>
      </c>
      <c r="Q198" s="9">
        <f t="shared" si="15"/>
        <v>1.2750319189094261</v>
      </c>
    </row>
    <row r="199" spans="2:17" x14ac:dyDescent="0.3">
      <c r="B199" t="s">
        <v>11</v>
      </c>
      <c r="C199" t="s">
        <v>22</v>
      </c>
      <c r="D199" t="s">
        <v>23</v>
      </c>
      <c r="E199" t="s">
        <v>24</v>
      </c>
      <c r="F199">
        <v>2</v>
      </c>
      <c r="G199">
        <v>10.34</v>
      </c>
      <c r="H199">
        <v>2</v>
      </c>
      <c r="J199">
        <f t="shared" si="12"/>
        <v>1</v>
      </c>
      <c r="K199">
        <f t="shared" si="13"/>
        <v>2</v>
      </c>
      <c r="L199" cm="1">
        <f t="array" ref="L199">_xlfn.IFS(D199="Sat",1,D199="Sun",2,D199="Thur",3,D199="Fri",4)</f>
        <v>3</v>
      </c>
      <c r="M199">
        <f t="shared" si="14"/>
        <v>1</v>
      </c>
      <c r="N199">
        <v>2</v>
      </c>
      <c r="O199">
        <v>10.34</v>
      </c>
      <c r="P199">
        <v>2</v>
      </c>
      <c r="Q199" s="9">
        <f t="shared" si="15"/>
        <v>1.4510114710241533</v>
      </c>
    </row>
    <row r="200" spans="2:17" x14ac:dyDescent="0.3">
      <c r="B200" t="s">
        <v>7</v>
      </c>
      <c r="C200" t="s">
        <v>22</v>
      </c>
      <c r="D200" t="s">
        <v>23</v>
      </c>
      <c r="E200" t="s">
        <v>24</v>
      </c>
      <c r="F200">
        <v>4</v>
      </c>
      <c r="G200">
        <v>43.11</v>
      </c>
      <c r="H200">
        <v>5</v>
      </c>
      <c r="J200">
        <f t="shared" si="12"/>
        <v>2</v>
      </c>
      <c r="K200">
        <f t="shared" si="13"/>
        <v>2</v>
      </c>
      <c r="L200" cm="1">
        <f t="array" ref="L200">_xlfn.IFS(D200="Sat",1,D200="Sun",2,D200="Thur",3,D200="Fri",4)</f>
        <v>3</v>
      </c>
      <c r="M200">
        <f t="shared" si="14"/>
        <v>1</v>
      </c>
      <c r="N200">
        <v>4</v>
      </c>
      <c r="O200">
        <v>43.11</v>
      </c>
      <c r="P200">
        <v>5</v>
      </c>
      <c r="Q200" s="9">
        <f t="shared" si="15"/>
        <v>4.9240203268570202</v>
      </c>
    </row>
    <row r="201" spans="2:17" x14ac:dyDescent="0.3">
      <c r="B201" t="s">
        <v>7</v>
      </c>
      <c r="C201" t="s">
        <v>22</v>
      </c>
      <c r="D201" t="s">
        <v>23</v>
      </c>
      <c r="E201" t="s">
        <v>24</v>
      </c>
      <c r="F201">
        <v>2</v>
      </c>
      <c r="G201">
        <v>13</v>
      </c>
      <c r="H201">
        <v>2</v>
      </c>
      <c r="J201">
        <f t="shared" si="12"/>
        <v>2</v>
      </c>
      <c r="K201">
        <f t="shared" si="13"/>
        <v>2</v>
      </c>
      <c r="L201" cm="1">
        <f t="array" ref="L201">_xlfn.IFS(D201="Sat",1,D201="Sun",2,D201="Thur",3,D201="Fri",4)</f>
        <v>3</v>
      </c>
      <c r="M201">
        <f t="shared" si="14"/>
        <v>1</v>
      </c>
      <c r="N201">
        <v>2</v>
      </c>
      <c r="O201">
        <v>13</v>
      </c>
      <c r="P201">
        <v>2</v>
      </c>
      <c r="Q201" s="9">
        <f t="shared" si="15"/>
        <v>1.7295670616911081</v>
      </c>
    </row>
    <row r="202" spans="2:17" x14ac:dyDescent="0.3">
      <c r="B202" t="s">
        <v>11</v>
      </c>
      <c r="C202" t="s">
        <v>22</v>
      </c>
      <c r="D202" t="s">
        <v>23</v>
      </c>
      <c r="E202" t="s">
        <v>24</v>
      </c>
      <c r="F202">
        <v>2</v>
      </c>
      <c r="G202">
        <v>13.51</v>
      </c>
      <c r="H202">
        <v>2</v>
      </c>
      <c r="J202">
        <f t="shared" si="12"/>
        <v>1</v>
      </c>
      <c r="K202">
        <f t="shared" si="13"/>
        <v>2</v>
      </c>
      <c r="L202" cm="1">
        <f t="array" ref="L202">_xlfn.IFS(D202="Sat",1,D202="Sun",2,D202="Thur",3,D202="Fri",4)</f>
        <v>3</v>
      </c>
      <c r="M202">
        <f t="shared" si="14"/>
        <v>1</v>
      </c>
      <c r="N202">
        <v>2</v>
      </c>
      <c r="O202">
        <v>13.51</v>
      </c>
      <c r="P202">
        <v>2</v>
      </c>
      <c r="Q202" s="9">
        <f t="shared" si="15"/>
        <v>1.7492093692838055</v>
      </c>
    </row>
    <row r="203" spans="2:17" x14ac:dyDescent="0.3">
      <c r="B203" t="s">
        <v>11</v>
      </c>
      <c r="C203" t="s">
        <v>22</v>
      </c>
      <c r="D203" t="s">
        <v>23</v>
      </c>
      <c r="E203" t="s">
        <v>24</v>
      </c>
      <c r="F203">
        <v>3</v>
      </c>
      <c r="G203">
        <v>18.71</v>
      </c>
      <c r="H203">
        <v>4</v>
      </c>
      <c r="J203">
        <f t="shared" si="12"/>
        <v>1</v>
      </c>
      <c r="K203">
        <f t="shared" si="13"/>
        <v>2</v>
      </c>
      <c r="L203" cm="1">
        <f t="array" ref="L203">_xlfn.IFS(D203="Sat",1,D203="Sun",2,D203="Thur",3,D203="Fri",4)</f>
        <v>3</v>
      </c>
      <c r="M203">
        <f t="shared" si="14"/>
        <v>1</v>
      </c>
      <c r="N203">
        <v>3</v>
      </c>
      <c r="O203">
        <v>18.71</v>
      </c>
      <c r="P203">
        <v>4</v>
      </c>
      <c r="Q203" s="9">
        <f t="shared" si="15"/>
        <v>2.4193885926084424</v>
      </c>
    </row>
    <row r="204" spans="2:17" x14ac:dyDescent="0.3">
      <c r="B204" t="s">
        <v>7</v>
      </c>
      <c r="C204" t="s">
        <v>22</v>
      </c>
      <c r="D204" t="s">
        <v>23</v>
      </c>
      <c r="E204" t="s">
        <v>24</v>
      </c>
      <c r="F204">
        <v>2</v>
      </c>
      <c r="G204">
        <v>12.74</v>
      </c>
      <c r="H204">
        <v>2.0099999999999998</v>
      </c>
      <c r="J204">
        <f t="shared" si="12"/>
        <v>2</v>
      </c>
      <c r="K204">
        <f t="shared" si="13"/>
        <v>2</v>
      </c>
      <c r="L204" cm="1">
        <f t="array" ref="L204">_xlfn.IFS(D204="Sat",1,D204="Sun",2,D204="Thur",3,D204="Fri",4)</f>
        <v>3</v>
      </c>
      <c r="M204">
        <f t="shared" si="14"/>
        <v>1</v>
      </c>
      <c r="N204">
        <v>2</v>
      </c>
      <c r="O204">
        <v>12.74</v>
      </c>
      <c r="P204">
        <v>2.0099999999999998</v>
      </c>
      <c r="Q204" s="9">
        <f t="shared" si="15"/>
        <v>1.7051091899095594</v>
      </c>
    </row>
    <row r="205" spans="2:17" x14ac:dyDescent="0.3">
      <c r="B205" t="s">
        <v>7</v>
      </c>
      <c r="C205" t="s">
        <v>22</v>
      </c>
      <c r="D205" t="s">
        <v>23</v>
      </c>
      <c r="E205" t="s">
        <v>24</v>
      </c>
      <c r="F205">
        <v>2</v>
      </c>
      <c r="G205">
        <v>16.399999999999999</v>
      </c>
      <c r="H205">
        <v>2.5</v>
      </c>
      <c r="J205">
        <f t="shared" si="12"/>
        <v>2</v>
      </c>
      <c r="K205">
        <f t="shared" si="13"/>
        <v>2</v>
      </c>
      <c r="L205" cm="1">
        <f t="array" ref="L205">_xlfn.IFS(D205="Sat",1,D205="Sun",2,D205="Thur",3,D205="Fri",4)</f>
        <v>3</v>
      </c>
      <c r="M205">
        <f t="shared" si="14"/>
        <v>1</v>
      </c>
      <c r="N205">
        <v>2</v>
      </c>
      <c r="O205">
        <v>16.399999999999999</v>
      </c>
      <c r="P205">
        <v>2.5</v>
      </c>
      <c r="Q205" s="9">
        <f t="shared" si="15"/>
        <v>2.0494007696036687</v>
      </c>
    </row>
    <row r="206" spans="2:17" x14ac:dyDescent="0.3">
      <c r="B206" t="s">
        <v>11</v>
      </c>
      <c r="C206" t="s">
        <v>22</v>
      </c>
      <c r="D206" t="s">
        <v>23</v>
      </c>
      <c r="E206" t="s">
        <v>24</v>
      </c>
      <c r="F206">
        <v>4</v>
      </c>
      <c r="G206">
        <v>20.53</v>
      </c>
      <c r="H206">
        <v>4</v>
      </c>
      <c r="J206">
        <f t="shared" si="12"/>
        <v>1</v>
      </c>
      <c r="K206">
        <f t="shared" si="13"/>
        <v>2</v>
      </c>
      <c r="L206" cm="1">
        <f t="array" ref="L206">_xlfn.IFS(D206="Sat",1,D206="Sun",2,D206="Thur",3,D206="Fri",4)</f>
        <v>3</v>
      </c>
      <c r="M206">
        <f t="shared" si="14"/>
        <v>1</v>
      </c>
      <c r="N206">
        <v>4</v>
      </c>
      <c r="O206">
        <v>20.53</v>
      </c>
      <c r="P206">
        <v>4</v>
      </c>
      <c r="Q206" s="9">
        <f t="shared" si="15"/>
        <v>2.7716154827729453</v>
      </c>
    </row>
    <row r="207" spans="2:17" x14ac:dyDescent="0.3">
      <c r="B207" t="s">
        <v>7</v>
      </c>
      <c r="C207" t="s">
        <v>22</v>
      </c>
      <c r="D207" t="s">
        <v>23</v>
      </c>
      <c r="E207" t="s">
        <v>24</v>
      </c>
      <c r="F207">
        <v>3</v>
      </c>
      <c r="G207">
        <v>16.47</v>
      </c>
      <c r="H207">
        <v>3.23</v>
      </c>
      <c r="J207">
        <f t="shared" si="12"/>
        <v>2</v>
      </c>
      <c r="K207">
        <f t="shared" si="13"/>
        <v>2</v>
      </c>
      <c r="L207" cm="1">
        <f t="array" ref="L207">_xlfn.IFS(D207="Sat",1,D207="Sun",2,D207="Thur",3,D207="Fri",4)</f>
        <v>3</v>
      </c>
      <c r="M207">
        <f t="shared" si="14"/>
        <v>1</v>
      </c>
      <c r="N207">
        <v>3</v>
      </c>
      <c r="O207">
        <v>16.47</v>
      </c>
      <c r="P207">
        <v>3.23</v>
      </c>
      <c r="Q207" s="9">
        <f t="shared" si="15"/>
        <v>2.2370073689308243</v>
      </c>
    </row>
    <row r="208" spans="2:17" x14ac:dyDescent="0.3">
      <c r="B208" t="s">
        <v>11</v>
      </c>
      <c r="C208" t="s">
        <v>22</v>
      </c>
      <c r="D208" t="s">
        <v>21</v>
      </c>
      <c r="E208" t="s">
        <v>10</v>
      </c>
      <c r="F208">
        <v>3</v>
      </c>
      <c r="G208">
        <v>26.59</v>
      </c>
      <c r="H208">
        <v>3.41</v>
      </c>
      <c r="J208">
        <f t="shared" si="12"/>
        <v>1</v>
      </c>
      <c r="K208">
        <f t="shared" si="13"/>
        <v>2</v>
      </c>
      <c r="L208" cm="1">
        <f t="array" ref="L208">_xlfn.IFS(D208="Sat",1,D208="Sun",2,D208="Thur",3,D208="Fri",4)</f>
        <v>1</v>
      </c>
      <c r="M208">
        <f t="shared" si="14"/>
        <v>2</v>
      </c>
      <c r="N208">
        <v>3</v>
      </c>
      <c r="O208">
        <v>26.59</v>
      </c>
      <c r="P208">
        <v>3.41</v>
      </c>
      <c r="Q208" s="9">
        <f t="shared" si="15"/>
        <v>3.1309444787871872</v>
      </c>
    </row>
    <row r="209" spans="2:17" x14ac:dyDescent="0.3">
      <c r="B209" t="s">
        <v>11</v>
      </c>
      <c r="C209" t="s">
        <v>22</v>
      </c>
      <c r="D209" t="s">
        <v>21</v>
      </c>
      <c r="E209" t="s">
        <v>10</v>
      </c>
      <c r="F209">
        <v>4</v>
      </c>
      <c r="G209">
        <v>38.729999999999997</v>
      </c>
      <c r="H209">
        <v>3</v>
      </c>
      <c r="J209">
        <f t="shared" si="12"/>
        <v>1</v>
      </c>
      <c r="K209">
        <f t="shared" si="13"/>
        <v>2</v>
      </c>
      <c r="L209" cm="1">
        <f t="array" ref="L209">_xlfn.IFS(D209="Sat",1,D209="Sun",2,D209="Thur",3,D209="Fri",4)</f>
        <v>1</v>
      </c>
      <c r="M209">
        <f t="shared" si="14"/>
        <v>2</v>
      </c>
      <c r="N209">
        <v>4</v>
      </c>
      <c r="O209">
        <v>38.729999999999997</v>
      </c>
      <c r="P209">
        <v>3</v>
      </c>
      <c r="Q209" s="9">
        <f t="shared" si="15"/>
        <v>4.4539607412039333</v>
      </c>
    </row>
    <row r="210" spans="2:17" x14ac:dyDescent="0.3">
      <c r="B210" t="s">
        <v>11</v>
      </c>
      <c r="C210" t="s">
        <v>22</v>
      </c>
      <c r="D210" t="s">
        <v>21</v>
      </c>
      <c r="E210" t="s">
        <v>10</v>
      </c>
      <c r="F210">
        <v>2</v>
      </c>
      <c r="G210">
        <v>24.27</v>
      </c>
      <c r="H210">
        <v>2.0299999999999998</v>
      </c>
      <c r="J210">
        <f t="shared" si="12"/>
        <v>1</v>
      </c>
      <c r="K210">
        <f t="shared" si="13"/>
        <v>2</v>
      </c>
      <c r="L210" cm="1">
        <f t="array" ref="L210">_xlfn.IFS(D210="Sat",1,D210="Sun",2,D210="Thur",3,D210="Fri",4)</f>
        <v>1</v>
      </c>
      <c r="M210">
        <f t="shared" si="14"/>
        <v>2</v>
      </c>
      <c r="N210">
        <v>2</v>
      </c>
      <c r="O210">
        <v>24.27</v>
      </c>
      <c r="P210">
        <v>2.0299999999999998</v>
      </c>
      <c r="Q210" s="9">
        <f t="shared" si="15"/>
        <v>2.7316832198120138</v>
      </c>
    </row>
    <row r="211" spans="2:17" x14ac:dyDescent="0.3">
      <c r="B211" t="s">
        <v>7</v>
      </c>
      <c r="C211" t="s">
        <v>22</v>
      </c>
      <c r="D211" t="s">
        <v>21</v>
      </c>
      <c r="E211" t="s">
        <v>10</v>
      </c>
      <c r="F211">
        <v>2</v>
      </c>
      <c r="G211">
        <v>12.76</v>
      </c>
      <c r="H211">
        <v>2.23</v>
      </c>
      <c r="J211">
        <f t="shared" si="12"/>
        <v>2</v>
      </c>
      <c r="K211">
        <f t="shared" si="13"/>
        <v>2</v>
      </c>
      <c r="L211" cm="1">
        <f t="array" ref="L211">_xlfn.IFS(D211="Sat",1,D211="Sun",2,D211="Thur",3,D211="Fri",4)</f>
        <v>1</v>
      </c>
      <c r="M211">
        <f t="shared" si="14"/>
        <v>2</v>
      </c>
      <c r="N211">
        <v>2</v>
      </c>
      <c r="O211">
        <v>12.76</v>
      </c>
      <c r="P211">
        <v>2.23</v>
      </c>
      <c r="Q211" s="9">
        <f t="shared" si="15"/>
        <v>1.6772847983845609</v>
      </c>
    </row>
    <row r="212" spans="2:17" x14ac:dyDescent="0.3">
      <c r="B212" t="s">
        <v>11</v>
      </c>
      <c r="C212" t="s">
        <v>22</v>
      </c>
      <c r="D212" t="s">
        <v>21</v>
      </c>
      <c r="E212" t="s">
        <v>10</v>
      </c>
      <c r="F212">
        <v>3</v>
      </c>
      <c r="G212">
        <v>30.06</v>
      </c>
      <c r="H212">
        <v>2</v>
      </c>
      <c r="J212">
        <f t="shared" si="12"/>
        <v>1</v>
      </c>
      <c r="K212">
        <f t="shared" si="13"/>
        <v>2</v>
      </c>
      <c r="L212" cm="1">
        <f t="array" ref="L212">_xlfn.IFS(D212="Sat",1,D212="Sun",2,D212="Thur",3,D212="Fri",4)</f>
        <v>1</v>
      </c>
      <c r="M212">
        <f t="shared" si="14"/>
        <v>2</v>
      </c>
      <c r="N212">
        <v>3</v>
      </c>
      <c r="O212">
        <v>30.06</v>
      </c>
      <c r="P212">
        <v>2</v>
      </c>
      <c r="Q212" s="9">
        <f t="shared" si="15"/>
        <v>3.4573629983332417</v>
      </c>
    </row>
    <row r="213" spans="2:17" x14ac:dyDescent="0.3">
      <c r="B213" t="s">
        <v>11</v>
      </c>
      <c r="C213" t="s">
        <v>22</v>
      </c>
      <c r="D213" t="s">
        <v>21</v>
      </c>
      <c r="E213" t="s">
        <v>10</v>
      </c>
      <c r="F213">
        <v>4</v>
      </c>
      <c r="G213">
        <v>25.89</v>
      </c>
      <c r="H213">
        <v>5.16</v>
      </c>
      <c r="J213">
        <f t="shared" si="12"/>
        <v>1</v>
      </c>
      <c r="K213">
        <f t="shared" si="13"/>
        <v>2</v>
      </c>
      <c r="L213" cm="1">
        <f t="array" ref="L213">_xlfn.IFS(D213="Sat",1,D213="Sun",2,D213="Thur",3,D213="Fri",4)</f>
        <v>1</v>
      </c>
      <c r="M213">
        <f t="shared" si="14"/>
        <v>2</v>
      </c>
      <c r="N213">
        <v>4</v>
      </c>
      <c r="O213">
        <v>25.89</v>
      </c>
      <c r="P213">
        <v>5.16</v>
      </c>
      <c r="Q213" s="9">
        <f t="shared" si="15"/>
        <v>3.24611815014591</v>
      </c>
    </row>
    <row r="214" spans="2:17" x14ac:dyDescent="0.3">
      <c r="B214" t="s">
        <v>11</v>
      </c>
      <c r="C214" t="s">
        <v>8</v>
      </c>
      <c r="D214" t="s">
        <v>21</v>
      </c>
      <c r="E214" t="s">
        <v>10</v>
      </c>
      <c r="F214">
        <v>4</v>
      </c>
      <c r="G214">
        <v>48.33</v>
      </c>
      <c r="H214">
        <v>9</v>
      </c>
      <c r="J214">
        <f t="shared" si="12"/>
        <v>1</v>
      </c>
      <c r="K214">
        <f t="shared" si="13"/>
        <v>1</v>
      </c>
      <c r="L214" cm="1">
        <f t="array" ref="L214">_xlfn.IFS(D214="Sat",1,D214="Sun",2,D214="Thur",3,D214="Fri",4)</f>
        <v>1</v>
      </c>
      <c r="M214">
        <f t="shared" si="14"/>
        <v>2</v>
      </c>
      <c r="N214">
        <v>4</v>
      </c>
      <c r="O214">
        <v>48.33</v>
      </c>
      <c r="P214">
        <v>9</v>
      </c>
      <c r="Q214" s="9">
        <f t="shared" si="15"/>
        <v>5.4425521608414122</v>
      </c>
    </row>
    <row r="215" spans="2:17" x14ac:dyDescent="0.3">
      <c r="B215" t="s">
        <v>7</v>
      </c>
      <c r="C215" t="s">
        <v>22</v>
      </c>
      <c r="D215" t="s">
        <v>21</v>
      </c>
      <c r="E215" t="s">
        <v>10</v>
      </c>
      <c r="F215">
        <v>2</v>
      </c>
      <c r="G215">
        <v>13.27</v>
      </c>
      <c r="H215">
        <v>2.5</v>
      </c>
      <c r="J215">
        <f t="shared" si="12"/>
        <v>2</v>
      </c>
      <c r="K215">
        <f t="shared" si="13"/>
        <v>2</v>
      </c>
      <c r="L215" cm="1">
        <f t="array" ref="L215">_xlfn.IFS(D215="Sat",1,D215="Sun",2,D215="Thur",3,D215="Fri",4)</f>
        <v>1</v>
      </c>
      <c r="M215">
        <f t="shared" si="14"/>
        <v>2</v>
      </c>
      <c r="N215">
        <v>2</v>
      </c>
      <c r="O215">
        <v>13.27</v>
      </c>
      <c r="P215">
        <v>2.5</v>
      </c>
      <c r="Q215" s="9">
        <f t="shared" si="15"/>
        <v>1.725259854571445</v>
      </c>
    </row>
    <row r="216" spans="2:17" x14ac:dyDescent="0.3">
      <c r="B216" t="s">
        <v>7</v>
      </c>
      <c r="C216" t="s">
        <v>22</v>
      </c>
      <c r="D216" t="s">
        <v>21</v>
      </c>
      <c r="E216" t="s">
        <v>10</v>
      </c>
      <c r="F216">
        <v>3</v>
      </c>
      <c r="G216">
        <v>28.17</v>
      </c>
      <c r="H216">
        <v>6.5</v>
      </c>
      <c r="J216">
        <f t="shared" si="12"/>
        <v>2</v>
      </c>
      <c r="K216">
        <f t="shared" si="13"/>
        <v>2</v>
      </c>
      <c r="L216" cm="1">
        <f t="array" ref="L216">_xlfn.IFS(D216="Sat",1,D216="Sun",2,D216="Thur",3,D216="Fri",4)</f>
        <v>1</v>
      </c>
      <c r="M216">
        <f t="shared" si="14"/>
        <v>2</v>
      </c>
      <c r="N216">
        <v>3</v>
      </c>
      <c r="O216">
        <v>28.17</v>
      </c>
      <c r="P216">
        <v>6.5</v>
      </c>
      <c r="Q216" s="9">
        <f t="shared" si="15"/>
        <v>3.3079058328230939</v>
      </c>
    </row>
    <row r="217" spans="2:17" x14ac:dyDescent="0.3">
      <c r="B217" t="s">
        <v>7</v>
      </c>
      <c r="C217" t="s">
        <v>22</v>
      </c>
      <c r="D217" t="s">
        <v>21</v>
      </c>
      <c r="E217" t="s">
        <v>10</v>
      </c>
      <c r="F217">
        <v>2</v>
      </c>
      <c r="G217">
        <v>12.9</v>
      </c>
      <c r="H217">
        <v>1.1000000000000001</v>
      </c>
      <c r="J217">
        <f t="shared" si="12"/>
        <v>2</v>
      </c>
      <c r="K217">
        <f t="shared" si="13"/>
        <v>2</v>
      </c>
      <c r="L217" cm="1">
        <f t="array" ref="L217">_xlfn.IFS(D217="Sat",1,D217="Sun",2,D217="Thur",3,D217="Fri",4)</f>
        <v>1</v>
      </c>
      <c r="M217">
        <f t="shared" si="14"/>
        <v>2</v>
      </c>
      <c r="N217">
        <v>2</v>
      </c>
      <c r="O217">
        <v>12.9</v>
      </c>
      <c r="P217">
        <v>1.1000000000000001</v>
      </c>
      <c r="Q217" s="9">
        <f t="shared" si="15"/>
        <v>1.6904544216515491</v>
      </c>
    </row>
    <row r="218" spans="2:17" x14ac:dyDescent="0.3">
      <c r="B218" t="s">
        <v>11</v>
      </c>
      <c r="C218" t="s">
        <v>22</v>
      </c>
      <c r="D218" t="s">
        <v>21</v>
      </c>
      <c r="E218" t="s">
        <v>10</v>
      </c>
      <c r="F218">
        <v>5</v>
      </c>
      <c r="G218">
        <v>28.15</v>
      </c>
      <c r="H218">
        <v>3</v>
      </c>
      <c r="J218">
        <f t="shared" si="12"/>
        <v>1</v>
      </c>
      <c r="K218">
        <f t="shared" si="13"/>
        <v>2</v>
      </c>
      <c r="L218" cm="1">
        <f t="array" ref="L218">_xlfn.IFS(D218="Sat",1,D218="Sun",2,D218="Thur",3,D218="Fri",4)</f>
        <v>1</v>
      </c>
      <c r="M218">
        <f t="shared" si="14"/>
        <v>2</v>
      </c>
      <c r="N218">
        <v>5</v>
      </c>
      <c r="O218">
        <v>28.15</v>
      </c>
      <c r="P218">
        <v>3</v>
      </c>
      <c r="Q218" s="9">
        <f t="shared" si="15"/>
        <v>3.6397352848638032</v>
      </c>
    </row>
    <row r="219" spans="2:17" x14ac:dyDescent="0.3">
      <c r="B219" t="s">
        <v>11</v>
      </c>
      <c r="C219" t="s">
        <v>22</v>
      </c>
      <c r="D219" t="s">
        <v>21</v>
      </c>
      <c r="E219" t="s">
        <v>10</v>
      </c>
      <c r="F219">
        <v>2</v>
      </c>
      <c r="G219">
        <v>11.59</v>
      </c>
      <c r="H219">
        <v>1.5</v>
      </c>
      <c r="J219">
        <f t="shared" si="12"/>
        <v>1</v>
      </c>
      <c r="K219">
        <f t="shared" si="13"/>
        <v>2</v>
      </c>
      <c r="L219" cm="1">
        <f t="array" ref="L219">_xlfn.IFS(D219="Sat",1,D219="Sun",2,D219="Thur",3,D219="Fri",4)</f>
        <v>1</v>
      </c>
      <c r="M219">
        <f t="shared" si="14"/>
        <v>2</v>
      </c>
      <c r="N219">
        <v>2</v>
      </c>
      <c r="O219">
        <v>11.59</v>
      </c>
      <c r="P219">
        <v>1.5</v>
      </c>
      <c r="Q219" s="9">
        <f t="shared" si="15"/>
        <v>1.538891626773405</v>
      </c>
    </row>
    <row r="220" spans="2:17" x14ac:dyDescent="0.3">
      <c r="B220" t="s">
        <v>11</v>
      </c>
      <c r="C220" t="s">
        <v>22</v>
      </c>
      <c r="D220" t="s">
        <v>21</v>
      </c>
      <c r="E220" t="s">
        <v>10</v>
      </c>
      <c r="F220">
        <v>2</v>
      </c>
      <c r="G220">
        <v>7.74</v>
      </c>
      <c r="H220">
        <v>1.44</v>
      </c>
      <c r="J220">
        <f t="shared" si="12"/>
        <v>1</v>
      </c>
      <c r="K220">
        <f t="shared" si="13"/>
        <v>2</v>
      </c>
      <c r="L220" cm="1">
        <f t="array" ref="L220">_xlfn.IFS(D220="Sat",1,D220="Sun",2,D220="Thur",3,D220="Fri",4)</f>
        <v>1</v>
      </c>
      <c r="M220">
        <f t="shared" si="14"/>
        <v>2</v>
      </c>
      <c r="N220">
        <v>2</v>
      </c>
      <c r="O220">
        <v>7.74</v>
      </c>
      <c r="P220">
        <v>1.44</v>
      </c>
      <c r="Q220" s="9">
        <f t="shared" si="15"/>
        <v>1.1767269869312407</v>
      </c>
    </row>
    <row r="221" spans="2:17" x14ac:dyDescent="0.3">
      <c r="B221" t="s">
        <v>7</v>
      </c>
      <c r="C221" t="s">
        <v>22</v>
      </c>
      <c r="D221" t="s">
        <v>21</v>
      </c>
      <c r="E221" t="s">
        <v>10</v>
      </c>
      <c r="F221">
        <v>4</v>
      </c>
      <c r="G221">
        <v>30.14</v>
      </c>
      <c r="H221">
        <v>3.09</v>
      </c>
      <c r="J221">
        <f t="shared" si="12"/>
        <v>2</v>
      </c>
      <c r="K221">
        <f t="shared" si="13"/>
        <v>2</v>
      </c>
      <c r="L221" cm="1">
        <f t="array" ref="L221">_xlfn.IFS(D221="Sat",1,D221="Sun",2,D221="Thur",3,D221="Fri",4)</f>
        <v>1</v>
      </c>
      <c r="M221">
        <f t="shared" si="14"/>
        <v>2</v>
      </c>
      <c r="N221">
        <v>4</v>
      </c>
      <c r="O221">
        <v>30.14</v>
      </c>
      <c r="P221">
        <v>3.09</v>
      </c>
      <c r="Q221" s="9">
        <f t="shared" si="15"/>
        <v>3.6742430336307974</v>
      </c>
    </row>
    <row r="222" spans="2:17" x14ac:dyDescent="0.3">
      <c r="B222" t="s">
        <v>11</v>
      </c>
      <c r="C222" t="s">
        <v>22</v>
      </c>
      <c r="D222" t="s">
        <v>25</v>
      </c>
      <c r="E222" t="s">
        <v>24</v>
      </c>
      <c r="F222">
        <v>2</v>
      </c>
      <c r="G222">
        <v>12.16</v>
      </c>
      <c r="H222">
        <v>2.2000000000000002</v>
      </c>
      <c r="J222">
        <f t="shared" si="12"/>
        <v>1</v>
      </c>
      <c r="K222">
        <f t="shared" si="13"/>
        <v>2</v>
      </c>
      <c r="L222" cm="1">
        <f t="array" ref="L222">_xlfn.IFS(D222="Sat",1,D222="Sun",2,D222="Thur",3,D222="Fri",4)</f>
        <v>4</v>
      </c>
      <c r="M222">
        <f t="shared" si="14"/>
        <v>1</v>
      </c>
      <c r="N222">
        <v>2</v>
      </c>
      <c r="O222">
        <v>12.16</v>
      </c>
      <c r="P222">
        <v>2.2000000000000002</v>
      </c>
      <c r="Q222" s="9">
        <f t="shared" si="15"/>
        <v>1.679963222147115</v>
      </c>
    </row>
    <row r="223" spans="2:17" x14ac:dyDescent="0.3">
      <c r="B223" t="s">
        <v>7</v>
      </c>
      <c r="C223" t="s">
        <v>22</v>
      </c>
      <c r="D223" t="s">
        <v>25</v>
      </c>
      <c r="E223" t="s">
        <v>24</v>
      </c>
      <c r="F223">
        <v>2</v>
      </c>
      <c r="G223">
        <v>13.42</v>
      </c>
      <c r="H223">
        <v>3.48</v>
      </c>
      <c r="J223">
        <f t="shared" si="12"/>
        <v>2</v>
      </c>
      <c r="K223">
        <f t="shared" si="13"/>
        <v>2</v>
      </c>
      <c r="L223" cm="1">
        <f t="array" ref="L223">_xlfn.IFS(D223="Sat",1,D223="Sun",2,D223="Thur",3,D223="Fri",4)</f>
        <v>4</v>
      </c>
      <c r="M223">
        <f t="shared" si="14"/>
        <v>1</v>
      </c>
      <c r="N223">
        <v>2</v>
      </c>
      <c r="O223">
        <v>13.42</v>
      </c>
      <c r="P223">
        <v>3.48</v>
      </c>
      <c r="Q223" s="9">
        <f t="shared" si="15"/>
        <v>1.8268225801441917</v>
      </c>
    </row>
    <row r="224" spans="2:17" x14ac:dyDescent="0.3">
      <c r="B224" t="s">
        <v>11</v>
      </c>
      <c r="C224" t="s">
        <v>22</v>
      </c>
      <c r="D224" t="s">
        <v>25</v>
      </c>
      <c r="E224" t="s">
        <v>24</v>
      </c>
      <c r="F224">
        <v>1</v>
      </c>
      <c r="G224">
        <v>8.58</v>
      </c>
      <c r="H224">
        <v>1.92</v>
      </c>
      <c r="J224">
        <f t="shared" si="12"/>
        <v>1</v>
      </c>
      <c r="K224">
        <f t="shared" si="13"/>
        <v>2</v>
      </c>
      <c r="L224" cm="1">
        <f t="array" ref="L224">_xlfn.IFS(D224="Sat",1,D224="Sun",2,D224="Thur",3,D224="Fri",4)</f>
        <v>4</v>
      </c>
      <c r="M224">
        <f t="shared" si="14"/>
        <v>1</v>
      </c>
      <c r="N224">
        <v>1</v>
      </c>
      <c r="O224">
        <v>8.58</v>
      </c>
      <c r="P224">
        <v>1.92</v>
      </c>
      <c r="Q224" s="9">
        <f t="shared" si="15"/>
        <v>1.1621753537690513</v>
      </c>
    </row>
    <row r="225" spans="2:17" x14ac:dyDescent="0.3">
      <c r="B225" t="s">
        <v>7</v>
      </c>
      <c r="C225" t="s">
        <v>8</v>
      </c>
      <c r="D225" t="s">
        <v>25</v>
      </c>
      <c r="E225" t="s">
        <v>24</v>
      </c>
      <c r="F225">
        <v>3</v>
      </c>
      <c r="G225">
        <v>15.98</v>
      </c>
      <c r="H225">
        <v>3</v>
      </c>
      <c r="J225">
        <f t="shared" si="12"/>
        <v>2</v>
      </c>
      <c r="K225">
        <f t="shared" si="13"/>
        <v>1</v>
      </c>
      <c r="L225" cm="1">
        <f t="array" ref="L225">_xlfn.IFS(D225="Sat",1,D225="Sun",2,D225="Thur",3,D225="Fri",4)</f>
        <v>4</v>
      </c>
      <c r="M225">
        <f t="shared" si="14"/>
        <v>1</v>
      </c>
      <c r="N225">
        <v>3</v>
      </c>
      <c r="O225">
        <v>15.98</v>
      </c>
      <c r="P225">
        <v>3</v>
      </c>
      <c r="Q225" s="9">
        <f t="shared" si="15"/>
        <v>2.334191874621089</v>
      </c>
    </row>
    <row r="226" spans="2:17" x14ac:dyDescent="0.3">
      <c r="B226" t="s">
        <v>11</v>
      </c>
      <c r="C226" t="s">
        <v>22</v>
      </c>
      <c r="D226" t="s">
        <v>25</v>
      </c>
      <c r="E226" t="s">
        <v>24</v>
      </c>
      <c r="F226">
        <v>2</v>
      </c>
      <c r="G226">
        <v>13.42</v>
      </c>
      <c r="H226">
        <v>1.58</v>
      </c>
      <c r="J226">
        <f t="shared" si="12"/>
        <v>1</v>
      </c>
      <c r="K226">
        <f t="shared" si="13"/>
        <v>2</v>
      </c>
      <c r="L226" cm="1">
        <f t="array" ref="L226">_xlfn.IFS(D226="Sat",1,D226="Sun",2,D226="Thur",3,D226="Fri",4)</f>
        <v>4</v>
      </c>
      <c r="M226">
        <f t="shared" si="14"/>
        <v>1</v>
      </c>
      <c r="N226">
        <v>2</v>
      </c>
      <c r="O226">
        <v>13.42</v>
      </c>
      <c r="P226">
        <v>1.58</v>
      </c>
      <c r="Q226" s="9">
        <f t="shared" si="15"/>
        <v>1.7984898315500051</v>
      </c>
    </row>
    <row r="227" spans="2:17" x14ac:dyDescent="0.3">
      <c r="B227" t="s">
        <v>7</v>
      </c>
      <c r="C227" t="s">
        <v>22</v>
      </c>
      <c r="D227" t="s">
        <v>25</v>
      </c>
      <c r="E227" t="s">
        <v>24</v>
      </c>
      <c r="F227">
        <v>2</v>
      </c>
      <c r="G227">
        <v>16.27</v>
      </c>
      <c r="H227">
        <v>2.5</v>
      </c>
      <c r="J227">
        <f t="shared" si="12"/>
        <v>2</v>
      </c>
      <c r="K227">
        <f t="shared" si="13"/>
        <v>2</v>
      </c>
      <c r="L227" cm="1">
        <f t="array" ref="L227">_xlfn.IFS(D227="Sat",1,D227="Sun",2,D227="Thur",3,D227="Fri",4)</f>
        <v>4</v>
      </c>
      <c r="M227">
        <f t="shared" si="14"/>
        <v>1</v>
      </c>
      <c r="N227">
        <v>2</v>
      </c>
      <c r="O227">
        <v>16.27</v>
      </c>
      <c r="P227">
        <v>2.5</v>
      </c>
      <c r="Q227" s="9">
        <f t="shared" si="15"/>
        <v>2.0949184823650149</v>
      </c>
    </row>
    <row r="228" spans="2:17" x14ac:dyDescent="0.3">
      <c r="B228" t="s">
        <v>7</v>
      </c>
      <c r="C228" t="s">
        <v>22</v>
      </c>
      <c r="D228" t="s">
        <v>25</v>
      </c>
      <c r="E228" t="s">
        <v>24</v>
      </c>
      <c r="F228">
        <v>2</v>
      </c>
      <c r="G228">
        <v>10.09</v>
      </c>
      <c r="H228">
        <v>2</v>
      </c>
      <c r="J228">
        <f t="shared" si="12"/>
        <v>2</v>
      </c>
      <c r="K228">
        <f t="shared" si="13"/>
        <v>2</v>
      </c>
      <c r="L228" cm="1">
        <f t="array" ref="L228">_xlfn.IFS(D228="Sat",1,D228="Sun",2,D228="Thur",3,D228="Fri",4)</f>
        <v>4</v>
      </c>
      <c r="M228">
        <f t="shared" si="14"/>
        <v>1</v>
      </c>
      <c r="N228">
        <v>2</v>
      </c>
      <c r="O228">
        <v>10.09</v>
      </c>
      <c r="P228">
        <v>2</v>
      </c>
      <c r="Q228" s="9">
        <f t="shared" si="15"/>
        <v>1.513573683865125</v>
      </c>
    </row>
    <row r="229" spans="2:17" x14ac:dyDescent="0.3">
      <c r="B229" t="s">
        <v>11</v>
      </c>
      <c r="C229" t="s">
        <v>8</v>
      </c>
      <c r="D229" t="s">
        <v>21</v>
      </c>
      <c r="E229" t="s">
        <v>10</v>
      </c>
      <c r="F229">
        <v>4</v>
      </c>
      <c r="G229">
        <v>20.45</v>
      </c>
      <c r="H229">
        <v>3</v>
      </c>
      <c r="J229">
        <f t="shared" si="12"/>
        <v>1</v>
      </c>
      <c r="K229">
        <f t="shared" si="13"/>
        <v>1</v>
      </c>
      <c r="L229" cm="1">
        <f t="array" ref="L229">_xlfn.IFS(D229="Sat",1,D229="Sun",2,D229="Thur",3,D229="Fri",4)</f>
        <v>1</v>
      </c>
      <c r="M229">
        <f t="shared" si="14"/>
        <v>2</v>
      </c>
      <c r="N229">
        <v>4</v>
      </c>
      <c r="O229">
        <v>20.45</v>
      </c>
      <c r="P229">
        <v>3</v>
      </c>
      <c r="Q229" s="9">
        <f t="shared" si="15"/>
        <v>2.8199157559584145</v>
      </c>
    </row>
    <row r="230" spans="2:17" x14ac:dyDescent="0.3">
      <c r="B230" t="s">
        <v>11</v>
      </c>
      <c r="C230" t="s">
        <v>8</v>
      </c>
      <c r="D230" t="s">
        <v>21</v>
      </c>
      <c r="E230" t="s">
        <v>10</v>
      </c>
      <c r="F230">
        <v>2</v>
      </c>
      <c r="G230">
        <v>13.28</v>
      </c>
      <c r="H230">
        <v>2.72</v>
      </c>
      <c r="J230">
        <f t="shared" si="12"/>
        <v>1</v>
      </c>
      <c r="K230">
        <f t="shared" si="13"/>
        <v>1</v>
      </c>
      <c r="L230" cm="1">
        <f t="array" ref="L230">_xlfn.IFS(D230="Sat",1,D230="Sun",2,D230="Thur",3,D230="Fri",4)</f>
        <v>1</v>
      </c>
      <c r="M230">
        <f t="shared" si="14"/>
        <v>2</v>
      </c>
      <c r="N230">
        <v>2</v>
      </c>
      <c r="O230">
        <v>13.28</v>
      </c>
      <c r="P230">
        <v>2.72</v>
      </c>
      <c r="Q230" s="9">
        <f t="shared" si="15"/>
        <v>1.7833993318260737</v>
      </c>
    </row>
    <row r="231" spans="2:17" x14ac:dyDescent="0.3">
      <c r="B231" t="s">
        <v>7</v>
      </c>
      <c r="C231" t="s">
        <v>22</v>
      </c>
      <c r="D231" t="s">
        <v>21</v>
      </c>
      <c r="E231" t="s">
        <v>10</v>
      </c>
      <c r="F231">
        <v>2</v>
      </c>
      <c r="G231">
        <v>22.12</v>
      </c>
      <c r="H231">
        <v>2.88</v>
      </c>
      <c r="J231">
        <f t="shared" si="12"/>
        <v>2</v>
      </c>
      <c r="K231">
        <f t="shared" si="13"/>
        <v>2</v>
      </c>
      <c r="L231" cm="1">
        <f t="array" ref="L231">_xlfn.IFS(D231="Sat",1,D231="Sun",2,D231="Thur",3,D231="Fri",4)</f>
        <v>1</v>
      </c>
      <c r="M231">
        <f t="shared" si="14"/>
        <v>2</v>
      </c>
      <c r="N231">
        <v>2</v>
      </c>
      <c r="O231">
        <v>22.12</v>
      </c>
      <c r="P231">
        <v>2.88</v>
      </c>
      <c r="Q231" s="9">
        <f t="shared" si="15"/>
        <v>2.5577681825203165</v>
      </c>
    </row>
    <row r="232" spans="2:17" x14ac:dyDescent="0.3">
      <c r="B232" t="s">
        <v>11</v>
      </c>
      <c r="C232" t="s">
        <v>22</v>
      </c>
      <c r="D232" t="s">
        <v>21</v>
      </c>
      <c r="E232" t="s">
        <v>10</v>
      </c>
      <c r="F232">
        <v>4</v>
      </c>
      <c r="G232">
        <v>24.01</v>
      </c>
      <c r="H232">
        <v>2</v>
      </c>
      <c r="J232">
        <f t="shared" si="12"/>
        <v>1</v>
      </c>
      <c r="K232">
        <f t="shared" si="13"/>
        <v>2</v>
      </c>
      <c r="L232" cm="1">
        <f t="array" ref="L232">_xlfn.IFS(D232="Sat",1,D232="Sun",2,D232="Thur",3,D232="Fri",4)</f>
        <v>1</v>
      </c>
      <c r="M232">
        <f t="shared" si="14"/>
        <v>2</v>
      </c>
      <c r="N232">
        <v>4</v>
      </c>
      <c r="O232">
        <v>24.01</v>
      </c>
      <c r="P232">
        <v>2</v>
      </c>
      <c r="Q232" s="9">
        <f t="shared" si="15"/>
        <v>3.0692689234177886</v>
      </c>
    </row>
    <row r="233" spans="2:17" x14ac:dyDescent="0.3">
      <c r="B233" t="s">
        <v>11</v>
      </c>
      <c r="C233" t="s">
        <v>22</v>
      </c>
      <c r="D233" t="s">
        <v>21</v>
      </c>
      <c r="E233" t="s">
        <v>10</v>
      </c>
      <c r="F233">
        <v>3</v>
      </c>
      <c r="G233">
        <v>15.69</v>
      </c>
      <c r="H233">
        <v>3</v>
      </c>
      <c r="J233">
        <f t="shared" si="12"/>
        <v>1</v>
      </c>
      <c r="K233">
        <f t="shared" si="13"/>
        <v>2</v>
      </c>
      <c r="L233" cm="1">
        <f t="array" ref="L233">_xlfn.IFS(D233="Sat",1,D233="Sun",2,D233="Thur",3,D233="Fri",4)</f>
        <v>1</v>
      </c>
      <c r="M233">
        <f t="shared" si="14"/>
        <v>2</v>
      </c>
      <c r="N233">
        <v>3</v>
      </c>
      <c r="O233">
        <v>15.69</v>
      </c>
      <c r="P233">
        <v>3</v>
      </c>
      <c r="Q233" s="9">
        <f t="shared" si="15"/>
        <v>2.1055952387145664</v>
      </c>
    </row>
    <row r="234" spans="2:17" x14ac:dyDescent="0.3">
      <c r="B234" t="s">
        <v>11</v>
      </c>
      <c r="C234" t="s">
        <v>8</v>
      </c>
      <c r="D234" t="s">
        <v>21</v>
      </c>
      <c r="E234" t="s">
        <v>10</v>
      </c>
      <c r="F234">
        <v>2</v>
      </c>
      <c r="G234">
        <v>11.61</v>
      </c>
      <c r="H234">
        <v>3.39</v>
      </c>
      <c r="J234">
        <f t="shared" si="12"/>
        <v>1</v>
      </c>
      <c r="K234">
        <f t="shared" si="13"/>
        <v>1</v>
      </c>
      <c r="L234" cm="1">
        <f t="array" ref="L234">_xlfn.IFS(D234="Sat",1,D234="Sun",2,D234="Thur",3,D234="Fri",4)</f>
        <v>1</v>
      </c>
      <c r="M234">
        <f t="shared" si="14"/>
        <v>2</v>
      </c>
      <c r="N234">
        <v>2</v>
      </c>
      <c r="O234">
        <v>11.61</v>
      </c>
      <c r="P234">
        <v>3.39</v>
      </c>
      <c r="Q234" s="9">
        <f t="shared" si="15"/>
        <v>1.6263045399984335</v>
      </c>
    </row>
    <row r="235" spans="2:17" x14ac:dyDescent="0.3">
      <c r="B235" t="s">
        <v>11</v>
      </c>
      <c r="C235" t="s">
        <v>8</v>
      </c>
      <c r="D235" t="s">
        <v>21</v>
      </c>
      <c r="E235" t="s">
        <v>10</v>
      </c>
      <c r="F235">
        <v>2</v>
      </c>
      <c r="G235">
        <v>10.77</v>
      </c>
      <c r="H235">
        <v>1.47</v>
      </c>
      <c r="J235">
        <f t="shared" si="12"/>
        <v>1</v>
      </c>
      <c r="K235">
        <f t="shared" si="13"/>
        <v>1</v>
      </c>
      <c r="L235" cm="1">
        <f t="array" ref="L235">_xlfn.IFS(D235="Sat",1,D235="Sun",2,D235="Thur",3,D235="Fri",4)</f>
        <v>1</v>
      </c>
      <c r="M235">
        <f t="shared" si="14"/>
        <v>2</v>
      </c>
      <c r="N235">
        <v>2</v>
      </c>
      <c r="O235">
        <v>10.77</v>
      </c>
      <c r="P235">
        <v>1.47</v>
      </c>
      <c r="Q235" s="9">
        <f t="shared" si="15"/>
        <v>1.5472868003965068</v>
      </c>
    </row>
    <row r="236" spans="2:17" x14ac:dyDescent="0.3">
      <c r="B236" t="s">
        <v>11</v>
      </c>
      <c r="C236" t="s">
        <v>22</v>
      </c>
      <c r="D236" t="s">
        <v>21</v>
      </c>
      <c r="E236" t="s">
        <v>10</v>
      </c>
      <c r="F236">
        <v>2</v>
      </c>
      <c r="G236">
        <v>15.53</v>
      </c>
      <c r="H236">
        <v>3</v>
      </c>
      <c r="J236">
        <f t="shared" si="12"/>
        <v>1</v>
      </c>
      <c r="K236">
        <f t="shared" si="13"/>
        <v>2</v>
      </c>
      <c r="L236" cm="1">
        <f t="array" ref="L236">_xlfn.IFS(D236="Sat",1,D236="Sun",2,D236="Thur",3,D236="Fri",4)</f>
        <v>1</v>
      </c>
      <c r="M236">
        <f t="shared" si="14"/>
        <v>2</v>
      </c>
      <c r="N236">
        <v>2</v>
      </c>
      <c r="O236">
        <v>15.53</v>
      </c>
      <c r="P236">
        <v>3</v>
      </c>
      <c r="Q236" s="9">
        <f t="shared" si="15"/>
        <v>1.9095224530014898</v>
      </c>
    </row>
    <row r="237" spans="2:17" x14ac:dyDescent="0.3">
      <c r="B237" t="s">
        <v>11</v>
      </c>
      <c r="C237" t="s">
        <v>8</v>
      </c>
      <c r="D237" t="s">
        <v>21</v>
      </c>
      <c r="E237" t="s">
        <v>10</v>
      </c>
      <c r="F237">
        <v>2</v>
      </c>
      <c r="G237">
        <v>10.07</v>
      </c>
      <c r="H237">
        <v>1.25</v>
      </c>
      <c r="J237">
        <f t="shared" si="12"/>
        <v>1</v>
      </c>
      <c r="K237">
        <f t="shared" si="13"/>
        <v>1</v>
      </c>
      <c r="L237" cm="1">
        <f t="array" ref="L237">_xlfn.IFS(D237="Sat",1,D237="Sun",2,D237="Thur",3,D237="Fri",4)</f>
        <v>1</v>
      </c>
      <c r="M237">
        <f t="shared" si="14"/>
        <v>2</v>
      </c>
      <c r="N237">
        <v>2</v>
      </c>
      <c r="O237">
        <v>10.07</v>
      </c>
      <c r="P237">
        <v>1.25</v>
      </c>
      <c r="Q237" s="9">
        <f t="shared" si="15"/>
        <v>1.4814386840615679</v>
      </c>
    </row>
    <row r="238" spans="2:17" x14ac:dyDescent="0.3">
      <c r="B238" t="s">
        <v>11</v>
      </c>
      <c r="C238" t="s">
        <v>22</v>
      </c>
      <c r="D238" t="s">
        <v>21</v>
      </c>
      <c r="E238" t="s">
        <v>10</v>
      </c>
      <c r="F238">
        <v>2</v>
      </c>
      <c r="G238">
        <v>12.6</v>
      </c>
      <c r="H238">
        <v>1</v>
      </c>
      <c r="J238">
        <f t="shared" si="12"/>
        <v>1</v>
      </c>
      <c r="K238">
        <f t="shared" si="13"/>
        <v>2</v>
      </c>
      <c r="L238" cm="1">
        <f t="array" ref="L238">_xlfn.IFS(D238="Sat",1,D238="Sun",2,D238="Thur",3,D238="Fri",4)</f>
        <v>1</v>
      </c>
      <c r="M238">
        <f t="shared" si="14"/>
        <v>2</v>
      </c>
      <c r="N238">
        <v>2</v>
      </c>
      <c r="O238">
        <v>12.6</v>
      </c>
      <c r="P238">
        <v>1</v>
      </c>
      <c r="Q238" s="9">
        <f t="shared" si="15"/>
        <v>1.6339010517709596</v>
      </c>
    </row>
    <row r="239" spans="2:17" x14ac:dyDescent="0.3">
      <c r="B239" t="s">
        <v>11</v>
      </c>
      <c r="C239" t="s">
        <v>22</v>
      </c>
      <c r="D239" t="s">
        <v>21</v>
      </c>
      <c r="E239" t="s">
        <v>10</v>
      </c>
      <c r="F239">
        <v>2</v>
      </c>
      <c r="G239">
        <v>32.83</v>
      </c>
      <c r="H239">
        <v>1.17</v>
      </c>
      <c r="J239">
        <f t="shared" si="12"/>
        <v>1</v>
      </c>
      <c r="K239">
        <f t="shared" si="13"/>
        <v>2</v>
      </c>
      <c r="L239" cm="1">
        <f t="array" ref="L239">_xlfn.IFS(D239="Sat",1,D239="Sun",2,D239="Thur",3,D239="Fri",4)</f>
        <v>1</v>
      </c>
      <c r="M239">
        <f t="shared" si="14"/>
        <v>2</v>
      </c>
      <c r="N239">
        <v>2</v>
      </c>
      <c r="O239">
        <v>32.83</v>
      </c>
      <c r="P239">
        <v>1.17</v>
      </c>
      <c r="Q239" s="9">
        <f t="shared" si="15"/>
        <v>3.5369116138506955</v>
      </c>
    </row>
    <row r="240" spans="2:17" x14ac:dyDescent="0.3">
      <c r="B240" t="s">
        <v>7</v>
      </c>
      <c r="C240" t="s">
        <v>8</v>
      </c>
      <c r="D240" t="s">
        <v>21</v>
      </c>
      <c r="E240" t="s">
        <v>10</v>
      </c>
      <c r="F240">
        <v>3</v>
      </c>
      <c r="G240">
        <v>35.83</v>
      </c>
      <c r="H240">
        <v>4.67</v>
      </c>
      <c r="J240">
        <f t="shared" si="12"/>
        <v>2</v>
      </c>
      <c r="K240">
        <f t="shared" si="13"/>
        <v>1</v>
      </c>
      <c r="L240" cm="1">
        <f t="array" ref="L240">_xlfn.IFS(D240="Sat",1,D240="Sun",2,D240="Thur",3,D240="Fri",4)</f>
        <v>1</v>
      </c>
      <c r="M240">
        <f t="shared" si="14"/>
        <v>2</v>
      </c>
      <c r="N240">
        <v>3</v>
      </c>
      <c r="O240">
        <v>35.83</v>
      </c>
      <c r="P240">
        <v>4.67</v>
      </c>
      <c r="Q240" s="9">
        <f t="shared" si="15"/>
        <v>4.1140039014751704</v>
      </c>
    </row>
    <row r="241" spans="2:17" x14ac:dyDescent="0.3">
      <c r="B241" t="s">
        <v>11</v>
      </c>
      <c r="C241" t="s">
        <v>8</v>
      </c>
      <c r="D241" t="s">
        <v>21</v>
      </c>
      <c r="E241" t="s">
        <v>10</v>
      </c>
      <c r="F241">
        <v>3</v>
      </c>
      <c r="G241">
        <v>29.03</v>
      </c>
      <c r="H241">
        <v>5.92</v>
      </c>
      <c r="J241">
        <f t="shared" si="12"/>
        <v>1</v>
      </c>
      <c r="K241">
        <f t="shared" si="13"/>
        <v>1</v>
      </c>
      <c r="L241" cm="1">
        <f t="array" ref="L241">_xlfn.IFS(D241="Sat",1,D241="Sun",2,D241="Thur",3,D241="Fri",4)</f>
        <v>1</v>
      </c>
      <c r="M241">
        <f t="shared" si="14"/>
        <v>2</v>
      </c>
      <c r="N241">
        <v>3</v>
      </c>
      <c r="O241">
        <v>29.03</v>
      </c>
      <c r="P241">
        <v>5.92</v>
      </c>
      <c r="Q241" s="9">
        <f t="shared" si="15"/>
        <v>3.4460037370558623</v>
      </c>
    </row>
    <row r="242" spans="2:17" x14ac:dyDescent="0.3">
      <c r="B242" t="s">
        <v>7</v>
      </c>
      <c r="C242" t="s">
        <v>22</v>
      </c>
      <c r="D242" t="s">
        <v>21</v>
      </c>
      <c r="E242" t="s">
        <v>10</v>
      </c>
      <c r="F242">
        <v>2</v>
      </c>
      <c r="G242">
        <v>27.18</v>
      </c>
      <c r="H242">
        <v>2</v>
      </c>
      <c r="J242">
        <f t="shared" si="12"/>
        <v>2</v>
      </c>
      <c r="K242">
        <f t="shared" si="13"/>
        <v>2</v>
      </c>
      <c r="L242" cm="1">
        <f t="array" ref="L242">_xlfn.IFS(D242="Sat",1,D242="Sun",2,D242="Thur",3,D242="Fri",4)</f>
        <v>1</v>
      </c>
      <c r="M242">
        <f t="shared" si="14"/>
        <v>2</v>
      </c>
      <c r="N242">
        <v>2</v>
      </c>
      <c r="O242">
        <v>27.18</v>
      </c>
      <c r="P242">
        <v>2</v>
      </c>
      <c r="Q242" s="9">
        <f t="shared" si="15"/>
        <v>3.033755994884304</v>
      </c>
    </row>
    <row r="243" spans="2:17" x14ac:dyDescent="0.3">
      <c r="B243" t="s">
        <v>11</v>
      </c>
      <c r="C243" t="s">
        <v>22</v>
      </c>
      <c r="D243" t="s">
        <v>21</v>
      </c>
      <c r="E243" t="s">
        <v>10</v>
      </c>
      <c r="F243">
        <v>2</v>
      </c>
      <c r="G243">
        <v>22.67</v>
      </c>
      <c r="H243">
        <v>2</v>
      </c>
      <c r="J243">
        <f t="shared" si="12"/>
        <v>1</v>
      </c>
      <c r="K243">
        <f t="shared" si="13"/>
        <v>2</v>
      </c>
      <c r="L243" cm="1">
        <f t="array" ref="L243">_xlfn.IFS(D243="Sat",1,D243="Sun",2,D243="Thur",3,D243="Fri",4)</f>
        <v>1</v>
      </c>
      <c r="M243">
        <f t="shared" si="14"/>
        <v>2</v>
      </c>
      <c r="N243">
        <v>2</v>
      </c>
      <c r="O243">
        <v>22.67</v>
      </c>
      <c r="P243">
        <v>2</v>
      </c>
      <c r="Q243" s="9">
        <f t="shared" si="15"/>
        <v>2.5811732396178675</v>
      </c>
    </row>
    <row r="244" spans="2:17" x14ac:dyDescent="0.3">
      <c r="B244" t="s">
        <v>11</v>
      </c>
      <c r="C244" t="s">
        <v>8</v>
      </c>
      <c r="D244" t="s">
        <v>21</v>
      </c>
      <c r="E244" t="s">
        <v>10</v>
      </c>
      <c r="F244">
        <v>2</v>
      </c>
      <c r="G244">
        <v>17.82</v>
      </c>
      <c r="H244">
        <v>1.75</v>
      </c>
      <c r="J244">
        <f t="shared" si="12"/>
        <v>1</v>
      </c>
      <c r="K244">
        <f t="shared" si="13"/>
        <v>1</v>
      </c>
      <c r="L244" cm="1">
        <f t="array" ref="L244">_xlfn.IFS(D244="Sat",1,D244="Sun",2,D244="Thur",3,D244="Fri",4)</f>
        <v>1</v>
      </c>
      <c r="M244">
        <f t="shared" si="14"/>
        <v>2</v>
      </c>
      <c r="N244">
        <v>2</v>
      </c>
      <c r="O244">
        <v>17.82</v>
      </c>
      <c r="P244">
        <v>1.75</v>
      </c>
      <c r="Q244" s="9">
        <f t="shared" si="15"/>
        <v>2.2104714006269637</v>
      </c>
    </row>
    <row r="245" spans="2:17" x14ac:dyDescent="0.3">
      <c r="B245" t="s">
        <v>7</v>
      </c>
      <c r="C245" t="s">
        <v>8</v>
      </c>
      <c r="D245" t="s">
        <v>23</v>
      </c>
      <c r="E245" t="s">
        <v>10</v>
      </c>
      <c r="F245">
        <v>2</v>
      </c>
      <c r="G245">
        <v>18.78</v>
      </c>
      <c r="H245">
        <v>3</v>
      </c>
      <c r="J245">
        <f t="shared" si="12"/>
        <v>2</v>
      </c>
      <c r="K245">
        <f t="shared" si="13"/>
        <v>1</v>
      </c>
      <c r="L245" cm="1">
        <f t="array" ref="L245">_xlfn.IFS(D245="Sat",1,D245="Sun",2,D245="Thur",3,D245="Fri",4)</f>
        <v>3</v>
      </c>
      <c r="M245">
        <f t="shared" si="14"/>
        <v>2</v>
      </c>
      <c r="N245">
        <v>2</v>
      </c>
      <c r="O245">
        <v>18.78</v>
      </c>
      <c r="P245">
        <v>3</v>
      </c>
      <c r="Q245" s="9">
        <f t="shared" si="15"/>
        <v>2.4446034346418788</v>
      </c>
    </row>
  </sheetData>
  <mergeCells count="1">
    <mergeCell ref="S12:Y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tips</vt:lpstr>
      <vt:lpstr>Pivot Table</vt:lpstr>
      <vt:lpstr>Correlation</vt:lpstr>
      <vt:lpstr>Regression</vt:lpstr>
      <vt:lpstr>Predicted tip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royshreya345@outlook.com</cp:lastModifiedBy>
  <cp:revision/>
  <dcterms:created xsi:type="dcterms:W3CDTF">2021-10-26T16:10:41Z</dcterms:created>
  <dcterms:modified xsi:type="dcterms:W3CDTF">2026-08-31T07:36:51Z</dcterms:modified>
  <cp:category/>
  <cp:contentStatus/>
</cp:coreProperties>
</file>