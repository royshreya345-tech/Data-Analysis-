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hreya Roy\Desktop\simplilearn\course 1\Course_end_project_datasets\CEP_02_Predicting_Restaurants_Tips_Dataset\"/>
    </mc:Choice>
  </mc:AlternateContent>
  <xr:revisionPtr revIDLastSave="0" documentId="13_ncr:1_{2795E05C-3306-4C14-BCD5-BD84D2D05569}" xr6:coauthVersionLast="47" xr6:coauthVersionMax="47" xr10:uidLastSave="{00000000-0000-0000-0000-000000000000}"/>
  <bookViews>
    <workbookView xWindow="-108" yWindow="-108" windowWidth="23256" windowHeight="12456" activeTab="2" xr2:uid="{E39F1B53-3127-4D6C-88BD-079CCE5E8692}"/>
  </bookViews>
  <sheets>
    <sheet name="tips" sheetId="1" r:id="rId1"/>
    <sheet name="Sheet2" sheetId="3" r:id="rId2"/>
    <sheet name="Sheet3" sheetId="4" r:id="rId3"/>
    <sheet name="Sheet1" sheetId="2" r:id="rId4"/>
  </sheets>
  <definedNames>
    <definedName name="_xlnm._FilterDatabase" localSheetId="3" hidden="1">Sheet1!$D$1:$D$244</definedName>
  </definedNames>
  <calcPr calcId="191028"/>
  <pivotCaches>
    <pivotCache cacheId="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" i="2" l="1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3" i="2"/>
  <c r="M114" i="2"/>
  <c r="M115" i="2"/>
  <c r="M116" i="2"/>
  <c r="M117" i="2"/>
  <c r="M118" i="2"/>
  <c r="M119" i="2"/>
  <c r="M120" i="2"/>
  <c r="M121" i="2"/>
  <c r="M122" i="2"/>
  <c r="M123" i="2"/>
  <c r="M124" i="2"/>
  <c r="M125" i="2"/>
  <c r="M126" i="2"/>
  <c r="M127" i="2"/>
  <c r="M128" i="2"/>
  <c r="M129" i="2"/>
  <c r="M130" i="2"/>
  <c r="M131" i="2"/>
  <c r="M132" i="2"/>
  <c r="M133" i="2"/>
  <c r="M134" i="2"/>
  <c r="M135" i="2"/>
  <c r="M136" i="2"/>
  <c r="M137" i="2"/>
  <c r="M138" i="2"/>
  <c r="M139" i="2"/>
  <c r="M140" i="2"/>
  <c r="M141" i="2"/>
  <c r="M142" i="2"/>
  <c r="M143" i="2"/>
  <c r="M144" i="2"/>
  <c r="M145" i="2"/>
  <c r="M146" i="2"/>
  <c r="M147" i="2"/>
  <c r="M148" i="2"/>
  <c r="M149" i="2"/>
  <c r="M150" i="2"/>
  <c r="M151" i="2"/>
  <c r="M152" i="2"/>
  <c r="M153" i="2"/>
  <c r="M154" i="2"/>
  <c r="M155" i="2"/>
  <c r="M156" i="2"/>
  <c r="M157" i="2"/>
  <c r="M158" i="2"/>
  <c r="M159" i="2"/>
  <c r="M160" i="2"/>
  <c r="M161" i="2"/>
  <c r="M162" i="2"/>
  <c r="M163" i="2"/>
  <c r="M164" i="2"/>
  <c r="M165" i="2"/>
  <c r="M166" i="2"/>
  <c r="M167" i="2"/>
  <c r="M168" i="2"/>
  <c r="M169" i="2"/>
  <c r="M170" i="2"/>
  <c r="M171" i="2"/>
  <c r="M172" i="2"/>
  <c r="M173" i="2"/>
  <c r="M174" i="2"/>
  <c r="M175" i="2"/>
  <c r="M176" i="2"/>
  <c r="M177" i="2"/>
  <c r="M178" i="2"/>
  <c r="M179" i="2"/>
  <c r="M180" i="2"/>
  <c r="M181" i="2"/>
  <c r="M182" i="2"/>
  <c r="M183" i="2"/>
  <c r="M184" i="2"/>
  <c r="M185" i="2"/>
  <c r="M186" i="2"/>
  <c r="M187" i="2"/>
  <c r="M188" i="2"/>
  <c r="M189" i="2"/>
  <c r="M190" i="2"/>
  <c r="M191" i="2"/>
  <c r="M192" i="2"/>
  <c r="M193" i="2"/>
  <c r="M194" i="2"/>
  <c r="M195" i="2"/>
  <c r="M196" i="2"/>
  <c r="M197" i="2"/>
  <c r="M198" i="2"/>
  <c r="M199" i="2"/>
  <c r="M200" i="2"/>
  <c r="M201" i="2"/>
  <c r="M202" i="2"/>
  <c r="M203" i="2"/>
  <c r="M204" i="2"/>
  <c r="M205" i="2"/>
  <c r="M206" i="2"/>
  <c r="M207" i="2"/>
  <c r="M208" i="2"/>
  <c r="M209" i="2"/>
  <c r="M210" i="2"/>
  <c r="M211" i="2"/>
  <c r="M212" i="2"/>
  <c r="M213" i="2"/>
  <c r="M214" i="2"/>
  <c r="M215" i="2"/>
  <c r="M216" i="2"/>
  <c r="M217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3" i="2"/>
  <c r="M244" i="2"/>
  <c r="M2" i="2"/>
  <c r="L8" i="2" a="1"/>
  <c r="L8" i="2"/>
  <c r="L9" i="2" a="1"/>
  <c r="L9" i="2"/>
  <c r="L10" i="2" a="1"/>
  <c r="L10" i="2"/>
  <c r="L11" i="2" a="1"/>
  <c r="L11" i="2"/>
  <c r="L12" i="2" a="1"/>
  <c r="L12" i="2"/>
  <c r="L13" i="2" a="1"/>
  <c r="L13" i="2" s="1"/>
  <c r="L14" i="2" a="1"/>
  <c r="L14" i="2"/>
  <c r="L15" i="2" a="1"/>
  <c r="L15" i="2"/>
  <c r="L16" i="2" a="1"/>
  <c r="L16" i="2"/>
  <c r="L17" i="2" a="1"/>
  <c r="L17" i="2"/>
  <c r="L18" i="2" a="1"/>
  <c r="L18" i="2"/>
  <c r="L19" i="2" a="1"/>
  <c r="L19" i="2"/>
  <c r="L20" i="2" a="1"/>
  <c r="L20" i="2" s="1"/>
  <c r="L21" i="2" a="1"/>
  <c r="L21" i="2"/>
  <c r="L22" i="2" a="1"/>
  <c r="L22" i="2"/>
  <c r="L23" i="2" a="1"/>
  <c r="L23" i="2"/>
  <c r="L24" i="2" a="1"/>
  <c r="L24" i="2"/>
  <c r="L25" i="2" a="1"/>
  <c r="L25" i="2"/>
  <c r="L26" i="2" a="1"/>
  <c r="L26" i="2"/>
  <c r="L27" i="2" a="1"/>
  <c r="L27" i="2" s="1"/>
  <c r="L28" i="2" a="1"/>
  <c r="L28" i="2"/>
  <c r="L29" i="2" a="1"/>
  <c r="L29" i="2"/>
  <c r="L30" i="2" a="1"/>
  <c r="L30" i="2"/>
  <c r="L31" i="2" a="1"/>
  <c r="L31" i="2"/>
  <c r="L32" i="2" a="1"/>
  <c r="L32" i="2"/>
  <c r="L33" i="2" a="1"/>
  <c r="L33" i="2"/>
  <c r="L34" i="2" a="1"/>
  <c r="L34" i="2" s="1"/>
  <c r="L35" i="2" a="1"/>
  <c r="L35" i="2"/>
  <c r="L36" i="2" a="1"/>
  <c r="L36" i="2"/>
  <c r="L37" i="2" a="1"/>
  <c r="L37" i="2"/>
  <c r="L38" i="2" a="1"/>
  <c r="L38" i="2"/>
  <c r="L39" i="2" a="1"/>
  <c r="L39" i="2"/>
  <c r="L40" i="2" a="1"/>
  <c r="L40" i="2"/>
  <c r="L41" i="2" a="1"/>
  <c r="L41" i="2" s="1"/>
  <c r="L42" i="2" a="1"/>
  <c r="L42" i="2"/>
  <c r="L43" i="2" a="1"/>
  <c r="L43" i="2"/>
  <c r="L44" i="2" a="1"/>
  <c r="L44" i="2"/>
  <c r="L45" i="2" a="1"/>
  <c r="L45" i="2"/>
  <c r="L46" i="2" a="1"/>
  <c r="L46" i="2"/>
  <c r="L47" i="2" a="1"/>
  <c r="L47" i="2"/>
  <c r="L48" i="2" a="1"/>
  <c r="L48" i="2" s="1"/>
  <c r="L49" i="2" a="1"/>
  <c r="L49" i="2"/>
  <c r="L50" i="2" a="1"/>
  <c r="L50" i="2"/>
  <c r="L51" i="2" a="1"/>
  <c r="L51" i="2"/>
  <c r="L52" i="2" a="1"/>
  <c r="L52" i="2"/>
  <c r="L53" i="2" a="1"/>
  <c r="L53" i="2"/>
  <c r="L54" i="2" a="1"/>
  <c r="L54" i="2"/>
  <c r="L55" i="2" a="1"/>
  <c r="L55" i="2" s="1"/>
  <c r="L56" i="2" a="1"/>
  <c r="L56" i="2"/>
  <c r="L57" i="2" a="1"/>
  <c r="L57" i="2"/>
  <c r="L58" i="2" a="1"/>
  <c r="L58" i="2"/>
  <c r="L59" i="2" a="1"/>
  <c r="L59" i="2"/>
  <c r="L60" i="2" a="1"/>
  <c r="L60" i="2"/>
  <c r="L61" i="2" a="1"/>
  <c r="L61" i="2"/>
  <c r="L62" i="2" a="1"/>
  <c r="L62" i="2" s="1"/>
  <c r="L63" i="2" a="1"/>
  <c r="L63" i="2"/>
  <c r="L64" i="2" a="1"/>
  <c r="L64" i="2"/>
  <c r="L65" i="2" a="1"/>
  <c r="L65" i="2"/>
  <c r="L66" i="2" a="1"/>
  <c r="L66" i="2"/>
  <c r="L67" i="2" a="1"/>
  <c r="L67" i="2"/>
  <c r="L68" i="2" a="1"/>
  <c r="L68" i="2"/>
  <c r="L69" i="2" a="1"/>
  <c r="L69" i="2" s="1"/>
  <c r="L70" i="2" a="1"/>
  <c r="L70" i="2"/>
  <c r="L71" i="2" a="1"/>
  <c r="L71" i="2"/>
  <c r="L72" i="2" a="1"/>
  <c r="L72" i="2"/>
  <c r="L73" i="2" a="1"/>
  <c r="L73" i="2"/>
  <c r="L74" i="2" a="1"/>
  <c r="L74" i="2"/>
  <c r="L75" i="2" a="1"/>
  <c r="L75" i="2"/>
  <c r="L76" i="2" a="1"/>
  <c r="L76" i="2" s="1"/>
  <c r="L77" i="2" a="1"/>
  <c r="L77" i="2"/>
  <c r="L78" i="2" a="1"/>
  <c r="L78" i="2"/>
  <c r="L79" i="2" a="1"/>
  <c r="L79" i="2"/>
  <c r="L80" i="2" a="1"/>
  <c r="L80" i="2"/>
  <c r="L81" i="2" a="1"/>
  <c r="L81" i="2"/>
  <c r="L82" i="2" a="1"/>
  <c r="L82" i="2"/>
  <c r="L83" i="2" a="1"/>
  <c r="L83" i="2" s="1"/>
  <c r="L84" i="2" a="1"/>
  <c r="L84" i="2"/>
  <c r="L85" i="2" a="1"/>
  <c r="L85" i="2"/>
  <c r="L86" i="2" a="1"/>
  <c r="L86" i="2"/>
  <c r="L87" i="2" a="1"/>
  <c r="L87" i="2"/>
  <c r="L88" i="2" a="1"/>
  <c r="L88" i="2"/>
  <c r="L89" i="2" a="1"/>
  <c r="L89" i="2"/>
  <c r="L90" i="2" a="1"/>
  <c r="L90" i="2" s="1"/>
  <c r="L91" i="2" a="1"/>
  <c r="L91" i="2"/>
  <c r="L92" i="2" a="1"/>
  <c r="L92" i="2"/>
  <c r="L93" i="2" a="1"/>
  <c r="L93" i="2"/>
  <c r="L94" i="2" a="1"/>
  <c r="L94" i="2"/>
  <c r="L95" i="2" a="1"/>
  <c r="L95" i="2"/>
  <c r="L96" i="2" a="1"/>
  <c r="L96" i="2"/>
  <c r="L97" i="2" a="1"/>
  <c r="L97" i="2" s="1"/>
  <c r="L98" i="2" a="1"/>
  <c r="L98" i="2"/>
  <c r="L99" i="2" a="1"/>
  <c r="L99" i="2"/>
  <c r="L100" i="2" a="1"/>
  <c r="L100" i="2"/>
  <c r="L101" i="2" a="1"/>
  <c r="L101" i="2"/>
  <c r="L102" i="2" a="1"/>
  <c r="L102" i="2"/>
  <c r="L103" i="2" a="1"/>
  <c r="L103" i="2"/>
  <c r="L104" i="2" a="1"/>
  <c r="L104" i="2" s="1"/>
  <c r="L105" i="2" a="1"/>
  <c r="L105" i="2"/>
  <c r="L106" i="2" a="1"/>
  <c r="L106" i="2"/>
  <c r="L107" i="2" a="1"/>
  <c r="L107" i="2"/>
  <c r="L108" i="2" a="1"/>
  <c r="L108" i="2"/>
  <c r="L109" i="2" a="1"/>
  <c r="L109" i="2"/>
  <c r="L110" i="2" a="1"/>
  <c r="L110" i="2"/>
  <c r="L111" i="2" a="1"/>
  <c r="L111" i="2" s="1"/>
  <c r="L112" i="2" a="1"/>
  <c r="L112" i="2"/>
  <c r="L113" i="2" a="1"/>
  <c r="L113" i="2"/>
  <c r="L114" i="2" a="1"/>
  <c r="L114" i="2"/>
  <c r="L115" i="2" a="1"/>
  <c r="L115" i="2"/>
  <c r="L116" i="2" a="1"/>
  <c r="L116" i="2"/>
  <c r="L117" i="2" a="1"/>
  <c r="L117" i="2"/>
  <c r="L118" i="2" a="1"/>
  <c r="L118" i="2" s="1"/>
  <c r="L119" i="2" a="1"/>
  <c r="L119" i="2"/>
  <c r="L120" i="2" a="1"/>
  <c r="L120" i="2"/>
  <c r="L121" i="2" a="1"/>
  <c r="L121" i="2"/>
  <c r="L122" i="2" a="1"/>
  <c r="L122" i="2"/>
  <c r="L123" i="2" a="1"/>
  <c r="L123" i="2"/>
  <c r="L124" i="2" a="1"/>
  <c r="L124" i="2"/>
  <c r="L125" i="2" a="1"/>
  <c r="L125" i="2" s="1"/>
  <c r="L126" i="2" a="1"/>
  <c r="L126" i="2"/>
  <c r="L127" i="2" a="1"/>
  <c r="L127" i="2"/>
  <c r="L128" i="2" a="1"/>
  <c r="L128" i="2"/>
  <c r="L129" i="2" a="1"/>
  <c r="L129" i="2"/>
  <c r="L130" i="2" a="1"/>
  <c r="L130" i="2"/>
  <c r="L131" i="2" a="1"/>
  <c r="L131" i="2"/>
  <c r="L132" i="2" a="1"/>
  <c r="L132" i="2" s="1"/>
  <c r="L133" i="2" a="1"/>
  <c r="L133" i="2"/>
  <c r="L134" i="2" a="1"/>
  <c r="L134" i="2"/>
  <c r="L135" i="2" a="1"/>
  <c r="L135" i="2"/>
  <c r="L136" i="2" a="1"/>
  <c r="L136" i="2"/>
  <c r="L137" i="2" a="1"/>
  <c r="L137" i="2"/>
  <c r="L138" i="2" a="1"/>
  <c r="L138" i="2"/>
  <c r="L139" i="2" a="1"/>
  <c r="L139" i="2" s="1"/>
  <c r="L140" i="2" a="1"/>
  <c r="L140" i="2"/>
  <c r="L141" i="2" a="1"/>
  <c r="L141" i="2"/>
  <c r="L142" i="2" a="1"/>
  <c r="L142" i="2"/>
  <c r="L143" i="2" a="1"/>
  <c r="L143" i="2"/>
  <c r="L144" i="2" a="1"/>
  <c r="L144" i="2"/>
  <c r="L145" i="2" a="1"/>
  <c r="L145" i="2"/>
  <c r="L146" i="2" a="1"/>
  <c r="L146" i="2" s="1"/>
  <c r="L147" i="2" a="1"/>
  <c r="L147" i="2"/>
  <c r="L148" i="2" a="1"/>
  <c r="L148" i="2"/>
  <c r="L149" i="2" a="1"/>
  <c r="L149" i="2"/>
  <c r="L150" i="2" a="1"/>
  <c r="L150" i="2"/>
  <c r="L151" i="2" a="1"/>
  <c r="L151" i="2"/>
  <c r="L152" i="2" a="1"/>
  <c r="L152" i="2"/>
  <c r="L153" i="2" a="1"/>
  <c r="L153" i="2" s="1"/>
  <c r="L154" i="2" a="1"/>
  <c r="L154" i="2"/>
  <c r="L155" i="2" a="1"/>
  <c r="L155" i="2"/>
  <c r="L156" i="2" a="1"/>
  <c r="L156" i="2"/>
  <c r="L157" i="2" a="1"/>
  <c r="L157" i="2"/>
  <c r="L158" i="2" a="1"/>
  <c r="L158" i="2"/>
  <c r="L159" i="2" a="1"/>
  <c r="L159" i="2"/>
  <c r="L160" i="2" a="1"/>
  <c r="L160" i="2" s="1"/>
  <c r="L161" i="2" a="1"/>
  <c r="L161" i="2"/>
  <c r="L162" i="2" a="1"/>
  <c r="L162" i="2"/>
  <c r="L163" i="2" a="1"/>
  <c r="L163" i="2"/>
  <c r="L164" i="2" a="1"/>
  <c r="L164" i="2"/>
  <c r="L165" i="2" a="1"/>
  <c r="L165" i="2"/>
  <c r="L166" i="2" a="1"/>
  <c r="L166" i="2"/>
  <c r="L167" i="2" a="1"/>
  <c r="L167" i="2" s="1"/>
  <c r="L168" i="2" a="1"/>
  <c r="L168" i="2"/>
  <c r="L169" i="2" a="1"/>
  <c r="L169" i="2"/>
  <c r="L170" i="2" a="1"/>
  <c r="L170" i="2"/>
  <c r="L171" i="2" a="1"/>
  <c r="L171" i="2"/>
  <c r="L172" i="2" a="1"/>
  <c r="L172" i="2"/>
  <c r="L173" i="2" a="1"/>
  <c r="L173" i="2"/>
  <c r="L174" i="2" a="1"/>
  <c r="L174" i="2" s="1"/>
  <c r="L175" i="2" a="1"/>
  <c r="L175" i="2"/>
  <c r="L176" i="2" a="1"/>
  <c r="L176" i="2"/>
  <c r="L177" i="2" a="1"/>
  <c r="L177" i="2"/>
  <c r="L178" i="2" a="1"/>
  <c r="L178" i="2"/>
  <c r="L179" i="2" a="1"/>
  <c r="L179" i="2"/>
  <c r="L180" i="2" a="1"/>
  <c r="L180" i="2"/>
  <c r="L181" i="2" a="1"/>
  <c r="L181" i="2" s="1"/>
  <c r="L182" i="2" a="1"/>
  <c r="L182" i="2"/>
  <c r="L183" i="2" a="1"/>
  <c r="L183" i="2"/>
  <c r="L184" i="2" a="1"/>
  <c r="L184" i="2"/>
  <c r="L185" i="2" a="1"/>
  <c r="L185" i="2"/>
  <c r="L186" i="2" a="1"/>
  <c r="L186" i="2"/>
  <c r="L187" i="2" a="1"/>
  <c r="L187" i="2"/>
  <c r="L188" i="2" a="1"/>
  <c r="L188" i="2" s="1"/>
  <c r="L189" i="2" a="1"/>
  <c r="L189" i="2"/>
  <c r="L190" i="2" a="1"/>
  <c r="L190" i="2"/>
  <c r="L191" i="2" a="1"/>
  <c r="L191" i="2"/>
  <c r="L192" i="2" a="1"/>
  <c r="L192" i="2"/>
  <c r="L193" i="2" a="1"/>
  <c r="L193" i="2"/>
  <c r="L194" i="2" a="1"/>
  <c r="L194" i="2"/>
  <c r="L195" i="2" a="1"/>
  <c r="L195" i="2" s="1"/>
  <c r="L196" i="2" a="1"/>
  <c r="L196" i="2"/>
  <c r="L197" i="2" a="1"/>
  <c r="L197" i="2"/>
  <c r="L198" i="2" a="1"/>
  <c r="L198" i="2"/>
  <c r="L199" i="2" a="1"/>
  <c r="L199" i="2"/>
  <c r="L200" i="2" a="1"/>
  <c r="L200" i="2"/>
  <c r="L201" i="2" a="1"/>
  <c r="L201" i="2"/>
  <c r="L202" i="2" a="1"/>
  <c r="L202" i="2" s="1"/>
  <c r="L203" i="2" a="1"/>
  <c r="L203" i="2"/>
  <c r="L204" i="2" a="1"/>
  <c r="L204" i="2"/>
  <c r="L205" i="2" a="1"/>
  <c r="L205" i="2"/>
  <c r="L206" i="2" a="1"/>
  <c r="L206" i="2"/>
  <c r="L207" i="2" a="1"/>
  <c r="L207" i="2"/>
  <c r="L208" i="2" a="1"/>
  <c r="L208" i="2"/>
  <c r="L209" i="2" a="1"/>
  <c r="L209" i="2" s="1"/>
  <c r="L210" i="2" a="1"/>
  <c r="L210" i="2"/>
  <c r="L211" i="2" a="1"/>
  <c r="L211" i="2"/>
  <c r="L212" i="2" a="1"/>
  <c r="L212" i="2"/>
  <c r="L213" i="2" a="1"/>
  <c r="L213" i="2"/>
  <c r="L214" i="2" a="1"/>
  <c r="L214" i="2"/>
  <c r="L215" i="2" a="1"/>
  <c r="L215" i="2"/>
  <c r="L216" i="2" a="1"/>
  <c r="L216" i="2" s="1"/>
  <c r="L217" i="2" a="1"/>
  <c r="L217" i="2"/>
  <c r="L218" i="2" a="1"/>
  <c r="L218" i="2"/>
  <c r="L219" i="2" a="1"/>
  <c r="L219" i="2"/>
  <c r="L220" i="2" a="1"/>
  <c r="L220" i="2"/>
  <c r="L221" i="2" a="1"/>
  <c r="L221" i="2"/>
  <c r="L222" i="2" a="1"/>
  <c r="L222" i="2"/>
  <c r="L223" i="2" a="1"/>
  <c r="L223" i="2" s="1"/>
  <c r="L224" i="2" a="1"/>
  <c r="L224" i="2"/>
  <c r="L225" i="2" a="1"/>
  <c r="L225" i="2"/>
  <c r="L226" i="2" a="1"/>
  <c r="L226" i="2"/>
  <c r="L227" i="2" a="1"/>
  <c r="L227" i="2"/>
  <c r="L228" i="2" a="1"/>
  <c r="L228" i="2"/>
  <c r="L229" i="2" a="1"/>
  <c r="L229" i="2"/>
  <c r="L230" i="2" a="1"/>
  <c r="L230" i="2" s="1"/>
  <c r="L231" i="2" a="1"/>
  <c r="L231" i="2"/>
  <c r="L232" i="2" a="1"/>
  <c r="L232" i="2"/>
  <c r="L233" i="2" a="1"/>
  <c r="L233" i="2"/>
  <c r="L234" i="2" a="1"/>
  <c r="L234" i="2"/>
  <c r="L235" i="2" a="1"/>
  <c r="L235" i="2"/>
  <c r="L236" i="2" a="1"/>
  <c r="L236" i="2"/>
  <c r="L237" i="2" a="1"/>
  <c r="L237" i="2" s="1"/>
  <c r="L238" i="2" a="1"/>
  <c r="L238" i="2"/>
  <c r="L239" i="2" a="1"/>
  <c r="L239" i="2"/>
  <c r="L240" i="2" a="1"/>
  <c r="L240" i="2"/>
  <c r="L241" i="2" a="1"/>
  <c r="L241" i="2"/>
  <c r="L242" i="2" a="1"/>
  <c r="L242" i="2"/>
  <c r="L243" i="2" a="1"/>
  <c r="L243" i="2"/>
  <c r="L244" i="2" a="1"/>
  <c r="L244" i="2" s="1"/>
  <c r="L7" i="2" a="1"/>
  <c r="L7" i="2"/>
  <c r="L6" i="2" a="1"/>
  <c r="L6" i="2"/>
  <c r="L5" i="2" a="1"/>
  <c r="L5" i="2"/>
  <c r="L4" i="2" a="1"/>
  <c r="L4" i="2"/>
  <c r="L3" i="2" a="1"/>
  <c r="L3" i="2"/>
  <c r="L2" i="2" a="1"/>
  <c r="L2" i="2" s="1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147" i="2"/>
  <c r="K148" i="2"/>
  <c r="K149" i="2"/>
  <c r="K150" i="2"/>
  <c r="K151" i="2"/>
  <c r="K152" i="2"/>
  <c r="K153" i="2"/>
  <c r="K154" i="2"/>
  <c r="K155" i="2"/>
  <c r="K156" i="2"/>
  <c r="K157" i="2"/>
  <c r="K158" i="2"/>
  <c r="K159" i="2"/>
  <c r="K160" i="2"/>
  <c r="K161" i="2"/>
  <c r="K162" i="2"/>
  <c r="K163" i="2"/>
  <c r="K164" i="2"/>
  <c r="K165" i="2"/>
  <c r="K166" i="2"/>
  <c r="K167" i="2"/>
  <c r="K168" i="2"/>
  <c r="K169" i="2"/>
  <c r="K170" i="2"/>
  <c r="K171" i="2"/>
  <c r="K172" i="2"/>
  <c r="K173" i="2"/>
  <c r="K174" i="2"/>
  <c r="K175" i="2"/>
  <c r="K176" i="2"/>
  <c r="K177" i="2"/>
  <c r="K178" i="2"/>
  <c r="K179" i="2"/>
  <c r="K180" i="2"/>
  <c r="K181" i="2"/>
  <c r="K182" i="2"/>
  <c r="K183" i="2"/>
  <c r="K184" i="2"/>
  <c r="K185" i="2"/>
  <c r="K186" i="2"/>
  <c r="K187" i="2"/>
  <c r="K188" i="2"/>
  <c r="K189" i="2"/>
  <c r="K190" i="2"/>
  <c r="K191" i="2"/>
  <c r="K192" i="2"/>
  <c r="K193" i="2"/>
  <c r="K194" i="2"/>
  <c r="K195" i="2"/>
  <c r="K196" i="2"/>
  <c r="K197" i="2"/>
  <c r="K198" i="2"/>
  <c r="K199" i="2"/>
  <c r="K200" i="2"/>
  <c r="K201" i="2"/>
  <c r="K202" i="2"/>
  <c r="K203" i="2"/>
  <c r="K204" i="2"/>
  <c r="K205" i="2"/>
  <c r="K206" i="2"/>
  <c r="K207" i="2"/>
  <c r="K208" i="2"/>
  <c r="K209" i="2"/>
  <c r="K210" i="2"/>
  <c r="K211" i="2"/>
  <c r="K212" i="2"/>
  <c r="K213" i="2"/>
  <c r="K214" i="2"/>
  <c r="K215" i="2"/>
  <c r="K216" i="2"/>
  <c r="K217" i="2"/>
  <c r="K218" i="2"/>
  <c r="K219" i="2"/>
  <c r="K220" i="2"/>
  <c r="K221" i="2"/>
  <c r="K222" i="2"/>
  <c r="K223" i="2"/>
  <c r="K224" i="2"/>
  <c r="K225" i="2"/>
  <c r="K226" i="2"/>
  <c r="K227" i="2"/>
  <c r="K228" i="2"/>
  <c r="K229" i="2"/>
  <c r="K230" i="2"/>
  <c r="K231" i="2"/>
  <c r="K232" i="2"/>
  <c r="K233" i="2"/>
  <c r="K234" i="2"/>
  <c r="K235" i="2"/>
  <c r="K236" i="2"/>
  <c r="K237" i="2"/>
  <c r="K238" i="2"/>
  <c r="K239" i="2"/>
  <c r="K240" i="2"/>
  <c r="K241" i="2"/>
  <c r="K242" i="2"/>
  <c r="K243" i="2"/>
  <c r="K244" i="2"/>
  <c r="K2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<sst xmlns="http://schemas.openxmlformats.org/spreadsheetml/2006/main" count="1988" uniqueCount="29">
  <si>
    <t>sex</t>
  </si>
  <si>
    <t>smoker</t>
  </si>
  <si>
    <t>day</t>
  </si>
  <si>
    <t>time</t>
  </si>
  <si>
    <t>size</t>
  </si>
  <si>
    <t>total_bill</t>
  </si>
  <si>
    <t>tip</t>
  </si>
  <si>
    <t>Female</t>
  </si>
  <si>
    <t>No</t>
  </si>
  <si>
    <t>Sun</t>
  </si>
  <si>
    <t>Dinner</t>
  </si>
  <si>
    <t>Male</t>
  </si>
  <si>
    <t xml:space="preserve">sex </t>
  </si>
  <si>
    <t>Gender of the customer</t>
  </si>
  <si>
    <t>Indicates if the customer is a smoker or not</t>
  </si>
  <si>
    <t>Day of the restaurant visit</t>
  </si>
  <si>
    <t>Indicates whether the tip was for lunch or dinner</t>
  </si>
  <si>
    <t>Number of members dining</t>
  </si>
  <si>
    <t>total bill</t>
  </si>
  <si>
    <t>Bill amount in USD</t>
  </si>
  <si>
    <t>Tip amount in USD</t>
  </si>
  <si>
    <t>Sat</t>
  </si>
  <si>
    <t>Yes</t>
  </si>
  <si>
    <t>Thur</t>
  </si>
  <si>
    <t>Lunch</t>
  </si>
  <si>
    <t>Fri</t>
  </si>
  <si>
    <t>Row Labels</t>
  </si>
  <si>
    <t>Grand Total</t>
  </si>
  <si>
    <t>Sum of tip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</si>
</sst>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indexed="65"/>
      </left>
      <right/>
      <top style="thin">
        <color rgb="FFABABAB"/>
      </top>
      <bottom/>
      <diagonal/>
    </border>
    <border>
      <left style="thin">
        <color indexed="65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65"/>
      </left>
      <right style="thin">
        <color rgb="FFABABAB"/>
      </right>
      <top style="thin">
        <color indexed="65"/>
      </top>
      <bottom/>
      <diagonal/>
    </border>
    <border>
      <left style="thin">
        <color rgb="FFABABAB"/>
      </left>
      <right/>
      <top style="thin">
        <color indexed="65"/>
      </top>
      <bottom style="thin">
        <color rgb="FFABABAB"/>
      </bottom>
      <diagonal/>
    </border>
    <border>
      <left style="thin">
        <color indexed="65"/>
      </left>
      <right/>
      <top style="thin">
        <color indexed="65"/>
      </top>
      <bottom style="thin">
        <color rgb="FFABABAB"/>
      </bottom>
      <diagonal/>
    </border>
    <border>
      <left style="thin">
        <color indexed="65"/>
      </left>
      <right style="thin">
        <color rgb="FFABABAB"/>
      </right>
      <top style="thin">
        <color indexed="65"/>
      </top>
      <bottom style="thin">
        <color rgb="FFABABAB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Border="1"/>
    <xf numFmtId="0" fontId="1" fillId="2" borderId="0" xfId="0" applyFont="1" applyFill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[Restaurant tips dataset.xlsx]Sheet2!PivotTable1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marker>
          <c:symbol val="circle"/>
          <c:size val="5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pieChart>
        <c:varyColors val="1"/>
        <c:ser>
          <c:idx val="0"/>
          <c:order val="0"/>
          <c:tx>
            <c:strRef>
              <c:f>Sheet2!$B$3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Sheet2!$A$4:$A$6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Sheet2!$B$4:$B$6</c:f>
              <c:numCache>
                <c:formatCode>General</c:formatCode>
                <c:ptCount val="2"/>
                <c:pt idx="0">
                  <c:v>244.51</c:v>
                </c:pt>
                <c:pt idx="1">
                  <c:v>485.07000000000011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6F-4535-95BF-DC3D3970ED68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53340</xdr:colOff>
      <xdr:row>0</xdr:row>
      <xdr:rowOff>156210</xdr:rowOff>
    </xdr:from>
    <xdr:to>
      <xdr:col>11</xdr:col>
      <xdr:colOff>358140</xdr:colOff>
      <xdr:row>13</xdr:row>
      <xdr:rowOff>137160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C718F72-3FEE-40DB-7A34-0D753DD96B7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hreya Roy" refreshedDate="46218.845621180553" createdVersion="8" refreshedVersion="8" minRefreshableVersion="3" recordCount="243" xr:uid="{9BB7F355-ED80-4036-A3D8-B741ACBB673E}">
  <cacheSource type="worksheet">
    <worksheetSource ref="A1:G244" sheet="Sheet1"/>
  </cacheSource>
  <cacheFields count="7">
    <cacheField name="sex" numFmtId="0">
      <sharedItems count="2">
        <s v="Female"/>
        <s v="Male"/>
      </sharedItems>
    </cacheField>
    <cacheField name="smoker" numFmtId="0">
      <sharedItems/>
    </cacheField>
    <cacheField name="day" numFmtId="0">
      <sharedItems/>
    </cacheField>
    <cacheField name="time" numFmtId="0">
      <sharedItems/>
    </cacheField>
    <cacheField name="size" numFmtId="0">
      <sharedItems containsSemiMixedTypes="0" containsString="0" containsNumber="1" containsInteger="1" minValue="1" maxValue="6"/>
    </cacheField>
    <cacheField name="total_bill" numFmtId="0">
      <sharedItems containsSemiMixedTypes="0" containsString="0" containsNumber="1" minValue="3.07" maxValue="50.81"/>
    </cacheField>
    <cacheField name="tip" numFmtId="0">
      <sharedItems containsSemiMixedTypes="0" containsString="0" containsNumber="1" minValue="1" maxValue="1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3">
  <r>
    <x v="0"/>
    <s v="No"/>
    <s v="Sun"/>
    <s v="Dinner"/>
    <n v="2"/>
    <n v="16.989999999999998"/>
    <n v="1.01"/>
  </r>
  <r>
    <x v="1"/>
    <s v="No"/>
    <s v="Sun"/>
    <s v="Dinner"/>
    <n v="3"/>
    <n v="10.34"/>
    <n v="1.66"/>
  </r>
  <r>
    <x v="1"/>
    <s v="No"/>
    <s v="Sun"/>
    <s v="Dinner"/>
    <n v="3"/>
    <n v="21.01"/>
    <n v="3.5"/>
  </r>
  <r>
    <x v="1"/>
    <s v="No"/>
    <s v="Sun"/>
    <s v="Dinner"/>
    <n v="2"/>
    <n v="23.68"/>
    <n v="3.31"/>
  </r>
  <r>
    <x v="0"/>
    <s v="No"/>
    <s v="Sun"/>
    <s v="Dinner"/>
    <n v="4"/>
    <n v="24.59"/>
    <n v="3.61"/>
  </r>
  <r>
    <x v="1"/>
    <s v="No"/>
    <s v="Sun"/>
    <s v="Dinner"/>
    <n v="4"/>
    <n v="25.29"/>
    <n v="4.71"/>
  </r>
  <r>
    <x v="1"/>
    <s v="No"/>
    <s v="Sun"/>
    <s v="Dinner"/>
    <n v="2"/>
    <n v="8.77"/>
    <n v="2"/>
  </r>
  <r>
    <x v="1"/>
    <s v="No"/>
    <s v="Sun"/>
    <s v="Dinner"/>
    <n v="4"/>
    <n v="26.88"/>
    <n v="3.12"/>
  </r>
  <r>
    <x v="1"/>
    <s v="No"/>
    <s v="Sun"/>
    <s v="Dinner"/>
    <n v="2"/>
    <n v="15.04"/>
    <n v="1.96"/>
  </r>
  <r>
    <x v="1"/>
    <s v="No"/>
    <s v="Sun"/>
    <s v="Dinner"/>
    <n v="2"/>
    <n v="14.78"/>
    <n v="3.23"/>
  </r>
  <r>
    <x v="1"/>
    <s v="No"/>
    <s v="Sun"/>
    <s v="Dinner"/>
    <n v="2"/>
    <n v="10.27"/>
    <n v="1.71"/>
  </r>
  <r>
    <x v="0"/>
    <s v="No"/>
    <s v="Sun"/>
    <s v="Dinner"/>
    <n v="4"/>
    <n v="35.26"/>
    <n v="5"/>
  </r>
  <r>
    <x v="1"/>
    <s v="No"/>
    <s v="Sun"/>
    <s v="Dinner"/>
    <n v="2"/>
    <n v="15.42"/>
    <n v="1.57"/>
  </r>
  <r>
    <x v="1"/>
    <s v="No"/>
    <s v="Sun"/>
    <s v="Dinner"/>
    <n v="4"/>
    <n v="18.43"/>
    <n v="3"/>
  </r>
  <r>
    <x v="0"/>
    <s v="No"/>
    <s v="Sun"/>
    <s v="Dinner"/>
    <n v="2"/>
    <n v="14.83"/>
    <n v="3.02"/>
  </r>
  <r>
    <x v="1"/>
    <s v="No"/>
    <s v="Sun"/>
    <s v="Dinner"/>
    <n v="2"/>
    <n v="21.58"/>
    <n v="3.92"/>
  </r>
  <r>
    <x v="0"/>
    <s v="No"/>
    <s v="Sun"/>
    <s v="Dinner"/>
    <n v="3"/>
    <n v="10.33"/>
    <n v="1.67"/>
  </r>
  <r>
    <x v="1"/>
    <s v="No"/>
    <s v="Sun"/>
    <s v="Dinner"/>
    <n v="3"/>
    <n v="16.29"/>
    <n v="3.71"/>
  </r>
  <r>
    <x v="0"/>
    <s v="No"/>
    <s v="Sun"/>
    <s v="Dinner"/>
    <n v="3"/>
    <n v="16.97"/>
    <n v="3.5"/>
  </r>
  <r>
    <x v="1"/>
    <s v="No"/>
    <s v="Sat"/>
    <s v="Dinner"/>
    <n v="3"/>
    <n v="20.65"/>
    <n v="3.35"/>
  </r>
  <r>
    <x v="1"/>
    <s v="No"/>
    <s v="Sat"/>
    <s v="Dinner"/>
    <n v="2"/>
    <n v="17.920000000000002"/>
    <n v="4.08"/>
  </r>
  <r>
    <x v="0"/>
    <s v="No"/>
    <s v="Sat"/>
    <s v="Dinner"/>
    <n v="2"/>
    <n v="20.29"/>
    <n v="2.75"/>
  </r>
  <r>
    <x v="0"/>
    <s v="No"/>
    <s v="Sat"/>
    <s v="Dinner"/>
    <n v="2"/>
    <n v="15.77"/>
    <n v="2.23"/>
  </r>
  <r>
    <x v="1"/>
    <s v="No"/>
    <s v="Sat"/>
    <s v="Dinner"/>
    <n v="4"/>
    <n v="39.42"/>
    <n v="7.58"/>
  </r>
  <r>
    <x v="1"/>
    <s v="No"/>
    <s v="Sat"/>
    <s v="Dinner"/>
    <n v="2"/>
    <n v="19.82"/>
    <n v="3.18"/>
  </r>
  <r>
    <x v="1"/>
    <s v="No"/>
    <s v="Sat"/>
    <s v="Dinner"/>
    <n v="4"/>
    <n v="17.809999999999999"/>
    <n v="2.34"/>
  </r>
  <r>
    <x v="1"/>
    <s v="No"/>
    <s v="Sat"/>
    <s v="Dinner"/>
    <n v="2"/>
    <n v="13.37"/>
    <n v="2"/>
  </r>
  <r>
    <x v="1"/>
    <s v="No"/>
    <s v="Sat"/>
    <s v="Dinner"/>
    <n v="2"/>
    <n v="12.69"/>
    <n v="2"/>
  </r>
  <r>
    <x v="1"/>
    <s v="No"/>
    <s v="Sat"/>
    <s v="Dinner"/>
    <n v="2"/>
    <n v="21.7"/>
    <n v="4.3"/>
  </r>
  <r>
    <x v="0"/>
    <s v="No"/>
    <s v="Sat"/>
    <s v="Dinner"/>
    <n v="2"/>
    <n v="19.649999999999999"/>
    <n v="3"/>
  </r>
  <r>
    <x v="1"/>
    <s v="No"/>
    <s v="Sat"/>
    <s v="Dinner"/>
    <n v="2"/>
    <n v="9.5500000000000007"/>
    <n v="1.45"/>
  </r>
  <r>
    <x v="1"/>
    <s v="No"/>
    <s v="Sat"/>
    <s v="Dinner"/>
    <n v="4"/>
    <n v="18.350000000000001"/>
    <n v="2.5"/>
  </r>
  <r>
    <x v="0"/>
    <s v="No"/>
    <s v="Sat"/>
    <s v="Dinner"/>
    <n v="2"/>
    <n v="15.06"/>
    <n v="3"/>
  </r>
  <r>
    <x v="0"/>
    <s v="No"/>
    <s v="Sat"/>
    <s v="Dinner"/>
    <n v="4"/>
    <n v="20.69"/>
    <n v="2.4500000000000002"/>
  </r>
  <r>
    <x v="1"/>
    <s v="No"/>
    <s v="Sat"/>
    <s v="Dinner"/>
    <n v="2"/>
    <n v="17.78"/>
    <n v="3.27"/>
  </r>
  <r>
    <x v="1"/>
    <s v="No"/>
    <s v="Sat"/>
    <s v="Dinner"/>
    <n v="3"/>
    <n v="24.06"/>
    <n v="3.6"/>
  </r>
  <r>
    <x v="1"/>
    <s v="No"/>
    <s v="Sat"/>
    <s v="Dinner"/>
    <n v="3"/>
    <n v="16.309999999999999"/>
    <n v="2"/>
  </r>
  <r>
    <x v="0"/>
    <s v="No"/>
    <s v="Sat"/>
    <s v="Dinner"/>
    <n v="3"/>
    <n v="16.93"/>
    <n v="3.07"/>
  </r>
  <r>
    <x v="1"/>
    <s v="No"/>
    <s v="Sat"/>
    <s v="Dinner"/>
    <n v="3"/>
    <n v="18.690000000000001"/>
    <n v="2.31"/>
  </r>
  <r>
    <x v="1"/>
    <s v="No"/>
    <s v="Sat"/>
    <s v="Dinner"/>
    <n v="3"/>
    <n v="31.27"/>
    <n v="5"/>
  </r>
  <r>
    <x v="1"/>
    <s v="No"/>
    <s v="Sat"/>
    <s v="Dinner"/>
    <n v="3"/>
    <n v="16.04"/>
    <n v="2.2400000000000002"/>
  </r>
  <r>
    <x v="1"/>
    <s v="No"/>
    <s v="Sun"/>
    <s v="Dinner"/>
    <n v="2"/>
    <n v="17.46"/>
    <n v="2.54"/>
  </r>
  <r>
    <x v="1"/>
    <s v="No"/>
    <s v="Sun"/>
    <s v="Dinner"/>
    <n v="2"/>
    <n v="13.94"/>
    <n v="3.06"/>
  </r>
  <r>
    <x v="1"/>
    <s v="No"/>
    <s v="Sun"/>
    <s v="Dinner"/>
    <n v="2"/>
    <n v="9.68"/>
    <n v="1.32"/>
  </r>
  <r>
    <x v="1"/>
    <s v="No"/>
    <s v="Sun"/>
    <s v="Dinner"/>
    <n v="4"/>
    <n v="30.4"/>
    <n v="5.6"/>
  </r>
  <r>
    <x v="1"/>
    <s v="No"/>
    <s v="Sun"/>
    <s v="Dinner"/>
    <n v="2"/>
    <n v="18.29"/>
    <n v="3"/>
  </r>
  <r>
    <x v="1"/>
    <s v="No"/>
    <s v="Sun"/>
    <s v="Dinner"/>
    <n v="2"/>
    <n v="22.23"/>
    <n v="5"/>
  </r>
  <r>
    <x v="1"/>
    <s v="No"/>
    <s v="Sun"/>
    <s v="Dinner"/>
    <n v="4"/>
    <n v="32.4"/>
    <n v="6"/>
  </r>
  <r>
    <x v="1"/>
    <s v="No"/>
    <s v="Sun"/>
    <s v="Dinner"/>
    <n v="3"/>
    <n v="28.55"/>
    <n v="2.0499999999999998"/>
  </r>
  <r>
    <x v="1"/>
    <s v="No"/>
    <s v="Sun"/>
    <s v="Dinner"/>
    <n v="2"/>
    <n v="18.04"/>
    <n v="3"/>
  </r>
  <r>
    <x v="1"/>
    <s v="No"/>
    <s v="Sun"/>
    <s v="Dinner"/>
    <n v="2"/>
    <n v="12.54"/>
    <n v="2.5"/>
  </r>
  <r>
    <x v="0"/>
    <s v="No"/>
    <s v="Sun"/>
    <s v="Dinner"/>
    <n v="2"/>
    <n v="10.29"/>
    <n v="2.6"/>
  </r>
  <r>
    <x v="0"/>
    <s v="No"/>
    <s v="Sun"/>
    <s v="Dinner"/>
    <n v="4"/>
    <n v="34.81"/>
    <n v="5.2"/>
  </r>
  <r>
    <x v="1"/>
    <s v="No"/>
    <s v="Sun"/>
    <s v="Dinner"/>
    <n v="2"/>
    <n v="9.94"/>
    <n v="1.56"/>
  </r>
  <r>
    <x v="1"/>
    <s v="No"/>
    <s v="Sun"/>
    <s v="Dinner"/>
    <n v="4"/>
    <n v="25.56"/>
    <n v="4.34"/>
  </r>
  <r>
    <x v="1"/>
    <s v="No"/>
    <s v="Sun"/>
    <s v="Dinner"/>
    <n v="2"/>
    <n v="19.489999999999998"/>
    <n v="3.51"/>
  </r>
  <r>
    <x v="1"/>
    <s v="Yes"/>
    <s v="Sat"/>
    <s v="Dinner"/>
    <n v="4"/>
    <n v="38.01"/>
    <n v="3"/>
  </r>
  <r>
    <x v="0"/>
    <s v="No"/>
    <s v="Sat"/>
    <s v="Dinner"/>
    <n v="2"/>
    <n v="26.41"/>
    <n v="1.5"/>
  </r>
  <r>
    <x v="1"/>
    <s v="Yes"/>
    <s v="Sat"/>
    <s v="Dinner"/>
    <n v="2"/>
    <n v="11.24"/>
    <n v="1.76"/>
  </r>
  <r>
    <x v="1"/>
    <s v="No"/>
    <s v="Sat"/>
    <s v="Dinner"/>
    <n v="4"/>
    <n v="48.27"/>
    <n v="6.73"/>
  </r>
  <r>
    <x v="1"/>
    <s v="Yes"/>
    <s v="Sat"/>
    <s v="Dinner"/>
    <n v="2"/>
    <n v="20.29"/>
    <n v="3.21"/>
  </r>
  <r>
    <x v="1"/>
    <s v="Yes"/>
    <s v="Sat"/>
    <s v="Dinner"/>
    <n v="2"/>
    <n v="13.81"/>
    <n v="2"/>
  </r>
  <r>
    <x v="1"/>
    <s v="Yes"/>
    <s v="Sat"/>
    <s v="Dinner"/>
    <n v="2"/>
    <n v="11.02"/>
    <n v="1.98"/>
  </r>
  <r>
    <x v="1"/>
    <s v="Yes"/>
    <s v="Sat"/>
    <s v="Dinner"/>
    <n v="4"/>
    <n v="18.29"/>
    <n v="3.76"/>
  </r>
  <r>
    <x v="1"/>
    <s v="No"/>
    <s v="Sat"/>
    <s v="Dinner"/>
    <n v="3"/>
    <n v="17.59"/>
    <n v="2.64"/>
  </r>
  <r>
    <x v="1"/>
    <s v="No"/>
    <s v="Sat"/>
    <s v="Dinner"/>
    <n v="3"/>
    <n v="20.079999999999998"/>
    <n v="3.15"/>
  </r>
  <r>
    <x v="0"/>
    <s v="No"/>
    <s v="Sat"/>
    <s v="Dinner"/>
    <n v="2"/>
    <n v="16.45"/>
    <n v="2.4700000000000002"/>
  </r>
  <r>
    <x v="0"/>
    <s v="Yes"/>
    <s v="Sat"/>
    <s v="Dinner"/>
    <n v="1"/>
    <n v="3.07"/>
    <n v="1"/>
  </r>
  <r>
    <x v="1"/>
    <s v="No"/>
    <s v="Sat"/>
    <s v="Dinner"/>
    <n v="2"/>
    <n v="20.23"/>
    <n v="2.0099999999999998"/>
  </r>
  <r>
    <x v="1"/>
    <s v="Yes"/>
    <s v="Sat"/>
    <s v="Dinner"/>
    <n v="2"/>
    <n v="15.01"/>
    <n v="2.09"/>
  </r>
  <r>
    <x v="1"/>
    <s v="No"/>
    <s v="Sat"/>
    <s v="Dinner"/>
    <n v="2"/>
    <n v="12.02"/>
    <n v="1.97"/>
  </r>
  <r>
    <x v="0"/>
    <s v="No"/>
    <s v="Sat"/>
    <s v="Dinner"/>
    <n v="3"/>
    <n v="17.07"/>
    <n v="3"/>
  </r>
  <r>
    <x v="0"/>
    <s v="Yes"/>
    <s v="Sat"/>
    <s v="Dinner"/>
    <n v="2"/>
    <n v="26.86"/>
    <n v="3.14"/>
  </r>
  <r>
    <x v="0"/>
    <s v="Yes"/>
    <s v="Sat"/>
    <s v="Dinner"/>
    <n v="2"/>
    <n v="25.28"/>
    <n v="5"/>
  </r>
  <r>
    <x v="0"/>
    <s v="No"/>
    <s v="Sat"/>
    <s v="Dinner"/>
    <n v="2"/>
    <n v="14.73"/>
    <n v="2.2000000000000002"/>
  </r>
  <r>
    <x v="1"/>
    <s v="No"/>
    <s v="Sat"/>
    <s v="Dinner"/>
    <n v="2"/>
    <n v="10.51"/>
    <n v="1.25"/>
  </r>
  <r>
    <x v="1"/>
    <s v="Yes"/>
    <s v="Sat"/>
    <s v="Dinner"/>
    <n v="2"/>
    <n v="17.920000000000002"/>
    <n v="3.08"/>
  </r>
  <r>
    <x v="1"/>
    <s v="No"/>
    <s v="Thur"/>
    <s v="Lunch"/>
    <n v="4"/>
    <n v="27.2"/>
    <n v="4"/>
  </r>
  <r>
    <x v="1"/>
    <s v="No"/>
    <s v="Thur"/>
    <s v="Lunch"/>
    <n v="2"/>
    <n v="22.76"/>
    <n v="3"/>
  </r>
  <r>
    <x v="1"/>
    <s v="No"/>
    <s v="Thur"/>
    <s v="Lunch"/>
    <n v="2"/>
    <n v="17.29"/>
    <n v="2.71"/>
  </r>
  <r>
    <x v="1"/>
    <s v="Yes"/>
    <s v="Thur"/>
    <s v="Lunch"/>
    <n v="2"/>
    <n v="19.440000000000001"/>
    <n v="3"/>
  </r>
  <r>
    <x v="1"/>
    <s v="No"/>
    <s v="Thur"/>
    <s v="Lunch"/>
    <n v="2"/>
    <n v="16.66"/>
    <n v="3.4"/>
  </r>
  <r>
    <x v="0"/>
    <s v="No"/>
    <s v="Thur"/>
    <s v="Lunch"/>
    <n v="1"/>
    <n v="10.07"/>
    <n v="1.83"/>
  </r>
  <r>
    <x v="1"/>
    <s v="Yes"/>
    <s v="Thur"/>
    <s v="Lunch"/>
    <n v="2"/>
    <n v="32.68"/>
    <n v="5"/>
  </r>
  <r>
    <x v="1"/>
    <s v="No"/>
    <s v="Thur"/>
    <s v="Lunch"/>
    <n v="2"/>
    <n v="15.98"/>
    <n v="2.0299999999999998"/>
  </r>
  <r>
    <x v="0"/>
    <s v="No"/>
    <s v="Thur"/>
    <s v="Lunch"/>
    <n v="4"/>
    <n v="34.83"/>
    <n v="5.17"/>
  </r>
  <r>
    <x v="1"/>
    <s v="No"/>
    <s v="Thur"/>
    <s v="Lunch"/>
    <n v="2"/>
    <n v="13.03"/>
    <n v="2"/>
  </r>
  <r>
    <x v="1"/>
    <s v="No"/>
    <s v="Thur"/>
    <s v="Lunch"/>
    <n v="2"/>
    <n v="18.28"/>
    <n v="4"/>
  </r>
  <r>
    <x v="1"/>
    <s v="No"/>
    <s v="Thur"/>
    <s v="Lunch"/>
    <n v="2"/>
    <n v="24.71"/>
    <n v="5.85"/>
  </r>
  <r>
    <x v="1"/>
    <s v="No"/>
    <s v="Thur"/>
    <s v="Lunch"/>
    <n v="2"/>
    <n v="21.16"/>
    <n v="3"/>
  </r>
  <r>
    <x v="1"/>
    <s v="Yes"/>
    <s v="Fri"/>
    <s v="Dinner"/>
    <n v="2"/>
    <n v="28.97"/>
    <n v="3"/>
  </r>
  <r>
    <x v="1"/>
    <s v="No"/>
    <s v="Fri"/>
    <s v="Dinner"/>
    <n v="2"/>
    <n v="22.49"/>
    <n v="3.5"/>
  </r>
  <r>
    <x v="0"/>
    <s v="Yes"/>
    <s v="Fri"/>
    <s v="Dinner"/>
    <n v="2"/>
    <n v="5.75"/>
    <n v="1"/>
  </r>
  <r>
    <x v="0"/>
    <s v="Yes"/>
    <s v="Fri"/>
    <s v="Dinner"/>
    <n v="2"/>
    <n v="16.32"/>
    <n v="4.3"/>
  </r>
  <r>
    <x v="0"/>
    <s v="No"/>
    <s v="Fri"/>
    <s v="Dinner"/>
    <n v="2"/>
    <n v="22.75"/>
    <n v="3.25"/>
  </r>
  <r>
    <x v="1"/>
    <s v="Yes"/>
    <s v="Fri"/>
    <s v="Dinner"/>
    <n v="4"/>
    <n v="40.17"/>
    <n v="4.7300000000000004"/>
  </r>
  <r>
    <x v="1"/>
    <s v="Yes"/>
    <s v="Fri"/>
    <s v="Dinner"/>
    <n v="2"/>
    <n v="27.28"/>
    <n v="4"/>
  </r>
  <r>
    <x v="1"/>
    <s v="Yes"/>
    <s v="Fri"/>
    <s v="Dinner"/>
    <n v="2"/>
    <n v="12.03"/>
    <n v="1.5"/>
  </r>
  <r>
    <x v="1"/>
    <s v="Yes"/>
    <s v="Fri"/>
    <s v="Dinner"/>
    <n v="2"/>
    <n v="21.01"/>
    <n v="3"/>
  </r>
  <r>
    <x v="1"/>
    <s v="No"/>
    <s v="Fri"/>
    <s v="Dinner"/>
    <n v="2"/>
    <n v="12.46"/>
    <n v="1.5"/>
  </r>
  <r>
    <x v="0"/>
    <s v="Yes"/>
    <s v="Fri"/>
    <s v="Dinner"/>
    <n v="2"/>
    <n v="11.35"/>
    <n v="2.5"/>
  </r>
  <r>
    <x v="0"/>
    <s v="Yes"/>
    <s v="Fri"/>
    <s v="Dinner"/>
    <n v="2"/>
    <n v="15.38"/>
    <n v="3"/>
  </r>
  <r>
    <x v="0"/>
    <s v="Yes"/>
    <s v="Sat"/>
    <s v="Dinner"/>
    <n v="3"/>
    <n v="44.3"/>
    <n v="2.5"/>
  </r>
  <r>
    <x v="0"/>
    <s v="Yes"/>
    <s v="Sat"/>
    <s v="Dinner"/>
    <n v="2"/>
    <n v="22.42"/>
    <n v="3.48"/>
  </r>
  <r>
    <x v="0"/>
    <s v="No"/>
    <s v="Sat"/>
    <s v="Dinner"/>
    <n v="2"/>
    <n v="20.92"/>
    <n v="4.08"/>
  </r>
  <r>
    <x v="1"/>
    <s v="Yes"/>
    <s v="Sat"/>
    <s v="Dinner"/>
    <n v="2"/>
    <n v="15.36"/>
    <n v="1.64"/>
  </r>
  <r>
    <x v="1"/>
    <s v="Yes"/>
    <s v="Sat"/>
    <s v="Dinner"/>
    <n v="2"/>
    <n v="20.49"/>
    <n v="4.0599999999999996"/>
  </r>
  <r>
    <x v="1"/>
    <s v="Yes"/>
    <s v="Sat"/>
    <s v="Dinner"/>
    <n v="2"/>
    <n v="25.21"/>
    <n v="4.29"/>
  </r>
  <r>
    <x v="1"/>
    <s v="No"/>
    <s v="Sat"/>
    <s v="Dinner"/>
    <n v="2"/>
    <n v="18.239999999999998"/>
    <n v="3.76"/>
  </r>
  <r>
    <x v="0"/>
    <s v="Yes"/>
    <s v="Sat"/>
    <s v="Dinner"/>
    <n v="2"/>
    <n v="14.31"/>
    <n v="4"/>
  </r>
  <r>
    <x v="1"/>
    <s v="No"/>
    <s v="Sat"/>
    <s v="Dinner"/>
    <n v="2"/>
    <n v="14"/>
    <n v="3"/>
  </r>
  <r>
    <x v="0"/>
    <s v="No"/>
    <s v="Sat"/>
    <s v="Dinner"/>
    <n v="1"/>
    <n v="7.25"/>
    <n v="1"/>
  </r>
  <r>
    <x v="1"/>
    <s v="No"/>
    <s v="Sun"/>
    <s v="Dinner"/>
    <n v="3"/>
    <n v="38.07"/>
    <n v="4"/>
  </r>
  <r>
    <x v="1"/>
    <s v="No"/>
    <s v="Sun"/>
    <s v="Dinner"/>
    <n v="2"/>
    <n v="23.95"/>
    <n v="2.5499999999999998"/>
  </r>
  <r>
    <x v="0"/>
    <s v="No"/>
    <s v="Sun"/>
    <s v="Dinner"/>
    <n v="3"/>
    <n v="25.71"/>
    <n v="4"/>
  </r>
  <r>
    <x v="0"/>
    <s v="No"/>
    <s v="Sun"/>
    <s v="Dinner"/>
    <n v="2"/>
    <n v="17.309999999999999"/>
    <n v="3.5"/>
  </r>
  <r>
    <x v="1"/>
    <s v="No"/>
    <s v="Sun"/>
    <s v="Dinner"/>
    <n v="4"/>
    <n v="29.93"/>
    <n v="5.07"/>
  </r>
  <r>
    <x v="0"/>
    <s v="No"/>
    <s v="Thur"/>
    <s v="Lunch"/>
    <n v="2"/>
    <n v="10.65"/>
    <n v="1.5"/>
  </r>
  <r>
    <x v="0"/>
    <s v="No"/>
    <s v="Thur"/>
    <s v="Lunch"/>
    <n v="2"/>
    <n v="12.43"/>
    <n v="1.8"/>
  </r>
  <r>
    <x v="0"/>
    <s v="No"/>
    <s v="Thur"/>
    <s v="Lunch"/>
    <n v="4"/>
    <n v="24.08"/>
    <n v="2.92"/>
  </r>
  <r>
    <x v="1"/>
    <s v="No"/>
    <s v="Thur"/>
    <s v="Lunch"/>
    <n v="2"/>
    <n v="11.69"/>
    <n v="2.31"/>
  </r>
  <r>
    <x v="0"/>
    <s v="No"/>
    <s v="Thur"/>
    <s v="Lunch"/>
    <n v="2"/>
    <n v="13.42"/>
    <n v="1.68"/>
  </r>
  <r>
    <x v="1"/>
    <s v="No"/>
    <s v="Thur"/>
    <s v="Lunch"/>
    <n v="2"/>
    <n v="14.26"/>
    <n v="2.5"/>
  </r>
  <r>
    <x v="1"/>
    <s v="No"/>
    <s v="Thur"/>
    <s v="Lunch"/>
    <n v="2"/>
    <n v="15.95"/>
    <n v="2"/>
  </r>
  <r>
    <x v="0"/>
    <s v="No"/>
    <s v="Thur"/>
    <s v="Lunch"/>
    <n v="2"/>
    <n v="12.48"/>
    <n v="2.52"/>
  </r>
  <r>
    <x v="0"/>
    <s v="No"/>
    <s v="Thur"/>
    <s v="Lunch"/>
    <n v="6"/>
    <n v="29.8"/>
    <n v="4.2"/>
  </r>
  <r>
    <x v="1"/>
    <s v="No"/>
    <s v="Thur"/>
    <s v="Lunch"/>
    <n v="2"/>
    <n v="8.52"/>
    <n v="1.48"/>
  </r>
  <r>
    <x v="0"/>
    <s v="No"/>
    <s v="Thur"/>
    <s v="Lunch"/>
    <n v="2"/>
    <n v="14.52"/>
    <n v="2"/>
  </r>
  <r>
    <x v="0"/>
    <s v="No"/>
    <s v="Thur"/>
    <s v="Lunch"/>
    <n v="2"/>
    <n v="11.38"/>
    <n v="2"/>
  </r>
  <r>
    <x v="1"/>
    <s v="No"/>
    <s v="Thur"/>
    <s v="Lunch"/>
    <n v="3"/>
    <n v="22.82"/>
    <n v="2.1800000000000002"/>
  </r>
  <r>
    <x v="1"/>
    <s v="No"/>
    <s v="Thur"/>
    <s v="Lunch"/>
    <n v="2"/>
    <n v="19.079999999999998"/>
    <n v="1.5"/>
  </r>
  <r>
    <x v="0"/>
    <s v="No"/>
    <s v="Thur"/>
    <s v="Lunch"/>
    <n v="2"/>
    <n v="20.27"/>
    <n v="2.83"/>
  </r>
  <r>
    <x v="0"/>
    <s v="No"/>
    <s v="Thur"/>
    <s v="Lunch"/>
    <n v="2"/>
    <n v="11.17"/>
    <n v="1.5"/>
  </r>
  <r>
    <x v="0"/>
    <s v="No"/>
    <s v="Thur"/>
    <s v="Lunch"/>
    <n v="2"/>
    <n v="12.26"/>
    <n v="2"/>
  </r>
  <r>
    <x v="0"/>
    <s v="No"/>
    <s v="Thur"/>
    <s v="Lunch"/>
    <n v="2"/>
    <n v="18.260000000000002"/>
    <n v="3.25"/>
  </r>
  <r>
    <x v="0"/>
    <s v="No"/>
    <s v="Thur"/>
    <s v="Lunch"/>
    <n v="2"/>
    <n v="8.51"/>
    <n v="1.25"/>
  </r>
  <r>
    <x v="0"/>
    <s v="No"/>
    <s v="Thur"/>
    <s v="Lunch"/>
    <n v="2"/>
    <n v="10.33"/>
    <n v="2"/>
  </r>
  <r>
    <x v="0"/>
    <s v="No"/>
    <s v="Thur"/>
    <s v="Lunch"/>
    <n v="2"/>
    <n v="14.15"/>
    <n v="2"/>
  </r>
  <r>
    <x v="1"/>
    <s v="Yes"/>
    <s v="Thur"/>
    <s v="Lunch"/>
    <n v="2"/>
    <n v="16"/>
    <n v="2"/>
  </r>
  <r>
    <x v="0"/>
    <s v="No"/>
    <s v="Thur"/>
    <s v="Lunch"/>
    <n v="2"/>
    <n v="13.16"/>
    <n v="2.75"/>
  </r>
  <r>
    <x v="0"/>
    <s v="No"/>
    <s v="Thur"/>
    <s v="Lunch"/>
    <n v="2"/>
    <n v="17.47"/>
    <n v="3.5"/>
  </r>
  <r>
    <x v="1"/>
    <s v="No"/>
    <s v="Thur"/>
    <s v="Lunch"/>
    <n v="6"/>
    <n v="34.299999999999997"/>
    <n v="6.7"/>
  </r>
  <r>
    <x v="1"/>
    <s v="No"/>
    <s v="Thur"/>
    <s v="Lunch"/>
    <n v="5"/>
    <n v="41.19"/>
    <n v="5"/>
  </r>
  <r>
    <x v="0"/>
    <s v="No"/>
    <s v="Thur"/>
    <s v="Lunch"/>
    <n v="6"/>
    <n v="27.05"/>
    <n v="5"/>
  </r>
  <r>
    <x v="0"/>
    <s v="No"/>
    <s v="Thur"/>
    <s v="Lunch"/>
    <n v="2"/>
    <n v="16.43"/>
    <n v="2.2999999999999998"/>
  </r>
  <r>
    <x v="0"/>
    <s v="No"/>
    <s v="Thur"/>
    <s v="Lunch"/>
    <n v="2"/>
    <n v="8.35"/>
    <n v="1.5"/>
  </r>
  <r>
    <x v="0"/>
    <s v="No"/>
    <s v="Thur"/>
    <s v="Lunch"/>
    <n v="3"/>
    <n v="18.64"/>
    <n v="1.36"/>
  </r>
  <r>
    <x v="0"/>
    <s v="No"/>
    <s v="Thur"/>
    <s v="Lunch"/>
    <n v="2"/>
    <n v="11.87"/>
    <n v="1.63"/>
  </r>
  <r>
    <x v="1"/>
    <s v="No"/>
    <s v="Thur"/>
    <s v="Lunch"/>
    <n v="2"/>
    <n v="9.7799999999999994"/>
    <n v="1.73"/>
  </r>
  <r>
    <x v="1"/>
    <s v="No"/>
    <s v="Thur"/>
    <s v="Lunch"/>
    <n v="2"/>
    <n v="7.51"/>
    <n v="2"/>
  </r>
  <r>
    <x v="1"/>
    <s v="No"/>
    <s v="Sun"/>
    <s v="Dinner"/>
    <n v="2"/>
    <n v="14.07"/>
    <n v="2.5"/>
  </r>
  <r>
    <x v="1"/>
    <s v="No"/>
    <s v="Sun"/>
    <s v="Dinner"/>
    <n v="2"/>
    <n v="13.13"/>
    <n v="2"/>
  </r>
  <r>
    <x v="1"/>
    <s v="No"/>
    <s v="Sun"/>
    <s v="Dinner"/>
    <n v="3"/>
    <n v="17.260000000000002"/>
    <n v="2.74"/>
  </r>
  <r>
    <x v="1"/>
    <s v="No"/>
    <s v="Sun"/>
    <s v="Dinner"/>
    <n v="4"/>
    <n v="24.55"/>
    <n v="2"/>
  </r>
  <r>
    <x v="1"/>
    <s v="No"/>
    <s v="Sun"/>
    <s v="Dinner"/>
    <n v="4"/>
    <n v="19.77"/>
    <n v="2"/>
  </r>
  <r>
    <x v="0"/>
    <s v="No"/>
    <s v="Sun"/>
    <s v="Dinner"/>
    <n v="5"/>
    <n v="29.85"/>
    <n v="5.14"/>
  </r>
  <r>
    <x v="1"/>
    <s v="No"/>
    <s v="Sun"/>
    <s v="Dinner"/>
    <n v="6"/>
    <n v="48.17"/>
    <n v="5"/>
  </r>
  <r>
    <x v="0"/>
    <s v="No"/>
    <s v="Sun"/>
    <s v="Dinner"/>
    <n v="4"/>
    <n v="25"/>
    <n v="3.75"/>
  </r>
  <r>
    <x v="0"/>
    <s v="No"/>
    <s v="Sun"/>
    <s v="Dinner"/>
    <n v="2"/>
    <n v="13.39"/>
    <n v="2.61"/>
  </r>
  <r>
    <x v="1"/>
    <s v="No"/>
    <s v="Sun"/>
    <s v="Dinner"/>
    <n v="4"/>
    <n v="16.489999999999998"/>
    <n v="2"/>
  </r>
  <r>
    <x v="1"/>
    <s v="No"/>
    <s v="Sun"/>
    <s v="Dinner"/>
    <n v="4"/>
    <n v="21.5"/>
    <n v="3.5"/>
  </r>
  <r>
    <x v="1"/>
    <s v="No"/>
    <s v="Sun"/>
    <s v="Dinner"/>
    <n v="2"/>
    <n v="12.66"/>
    <n v="2.5"/>
  </r>
  <r>
    <x v="0"/>
    <s v="No"/>
    <s v="Sun"/>
    <s v="Dinner"/>
    <n v="3"/>
    <n v="16.21"/>
    <n v="2"/>
  </r>
  <r>
    <x v="1"/>
    <s v="No"/>
    <s v="Sun"/>
    <s v="Dinner"/>
    <n v="2"/>
    <n v="13.81"/>
    <n v="2"/>
  </r>
  <r>
    <x v="0"/>
    <s v="Yes"/>
    <s v="Sun"/>
    <s v="Dinner"/>
    <n v="2"/>
    <n v="17.510000000000002"/>
    <n v="3"/>
  </r>
  <r>
    <x v="1"/>
    <s v="No"/>
    <s v="Sun"/>
    <s v="Dinner"/>
    <n v="3"/>
    <n v="24.52"/>
    <n v="3.48"/>
  </r>
  <r>
    <x v="1"/>
    <s v="No"/>
    <s v="Sun"/>
    <s v="Dinner"/>
    <n v="2"/>
    <n v="20.76"/>
    <n v="2.2400000000000002"/>
  </r>
  <r>
    <x v="1"/>
    <s v="No"/>
    <s v="Sun"/>
    <s v="Dinner"/>
    <n v="4"/>
    <n v="31.71"/>
    <n v="4.5"/>
  </r>
  <r>
    <x v="0"/>
    <s v="Yes"/>
    <s v="Sat"/>
    <s v="Dinner"/>
    <n v="2"/>
    <n v="10.59"/>
    <n v="1.61"/>
  </r>
  <r>
    <x v="0"/>
    <s v="Yes"/>
    <s v="Sat"/>
    <s v="Dinner"/>
    <n v="2"/>
    <n v="10.63"/>
    <n v="2"/>
  </r>
  <r>
    <x v="1"/>
    <s v="Yes"/>
    <s v="Sat"/>
    <s v="Dinner"/>
    <n v="3"/>
    <n v="50.81"/>
    <n v="10"/>
  </r>
  <r>
    <x v="1"/>
    <s v="Yes"/>
    <s v="Sat"/>
    <s v="Dinner"/>
    <n v="2"/>
    <n v="15.81"/>
    <n v="3.16"/>
  </r>
  <r>
    <x v="1"/>
    <s v="Yes"/>
    <s v="Sun"/>
    <s v="Dinner"/>
    <n v="2"/>
    <n v="7.25"/>
    <n v="5.15"/>
  </r>
  <r>
    <x v="1"/>
    <s v="Yes"/>
    <s v="Sun"/>
    <s v="Dinner"/>
    <n v="2"/>
    <n v="31.85"/>
    <n v="3.18"/>
  </r>
  <r>
    <x v="1"/>
    <s v="Yes"/>
    <s v="Sun"/>
    <s v="Dinner"/>
    <n v="2"/>
    <n v="16.82"/>
    <n v="4"/>
  </r>
  <r>
    <x v="1"/>
    <s v="Yes"/>
    <s v="Sun"/>
    <s v="Dinner"/>
    <n v="2"/>
    <n v="32.9"/>
    <n v="3.11"/>
  </r>
  <r>
    <x v="1"/>
    <s v="Yes"/>
    <s v="Sun"/>
    <s v="Dinner"/>
    <n v="2"/>
    <n v="17.89"/>
    <n v="2"/>
  </r>
  <r>
    <x v="1"/>
    <s v="Yes"/>
    <s v="Sun"/>
    <s v="Dinner"/>
    <n v="2"/>
    <n v="14.48"/>
    <n v="2"/>
  </r>
  <r>
    <x v="0"/>
    <s v="Yes"/>
    <s v="Sun"/>
    <s v="Dinner"/>
    <n v="2"/>
    <n v="9.6"/>
    <n v="4"/>
  </r>
  <r>
    <x v="1"/>
    <s v="Yes"/>
    <s v="Sun"/>
    <s v="Dinner"/>
    <n v="2"/>
    <n v="34.630000000000003"/>
    <n v="3.55"/>
  </r>
  <r>
    <x v="1"/>
    <s v="Yes"/>
    <s v="Sun"/>
    <s v="Dinner"/>
    <n v="4"/>
    <n v="34.65"/>
    <n v="3.68"/>
  </r>
  <r>
    <x v="1"/>
    <s v="Yes"/>
    <s v="Sun"/>
    <s v="Dinner"/>
    <n v="2"/>
    <n v="23.33"/>
    <n v="5.65"/>
  </r>
  <r>
    <x v="1"/>
    <s v="Yes"/>
    <s v="Sun"/>
    <s v="Dinner"/>
    <n v="3"/>
    <n v="45.35"/>
    <n v="3.5"/>
  </r>
  <r>
    <x v="1"/>
    <s v="Yes"/>
    <s v="Sun"/>
    <s v="Dinner"/>
    <n v="4"/>
    <n v="23.17"/>
    <n v="6.5"/>
  </r>
  <r>
    <x v="1"/>
    <s v="Yes"/>
    <s v="Sun"/>
    <s v="Dinner"/>
    <n v="2"/>
    <n v="40.549999999999997"/>
    <n v="3"/>
  </r>
  <r>
    <x v="1"/>
    <s v="No"/>
    <s v="Sun"/>
    <s v="Dinner"/>
    <n v="5"/>
    <n v="20.69"/>
    <n v="5"/>
  </r>
  <r>
    <x v="0"/>
    <s v="Yes"/>
    <s v="Sun"/>
    <s v="Dinner"/>
    <n v="3"/>
    <n v="20.9"/>
    <n v="3.5"/>
  </r>
  <r>
    <x v="1"/>
    <s v="Yes"/>
    <s v="Sun"/>
    <s v="Dinner"/>
    <n v="5"/>
    <n v="30.46"/>
    <n v="2"/>
  </r>
  <r>
    <x v="0"/>
    <s v="Yes"/>
    <s v="Sun"/>
    <s v="Dinner"/>
    <n v="3"/>
    <n v="18.149999999999999"/>
    <n v="3.5"/>
  </r>
  <r>
    <x v="1"/>
    <s v="Yes"/>
    <s v="Sun"/>
    <s v="Dinner"/>
    <n v="3"/>
    <n v="23.1"/>
    <n v="4"/>
  </r>
  <r>
    <x v="1"/>
    <s v="Yes"/>
    <s v="Sun"/>
    <s v="Dinner"/>
    <n v="2"/>
    <n v="15.69"/>
    <n v="1.5"/>
  </r>
  <r>
    <x v="0"/>
    <s v="Yes"/>
    <s v="Thur"/>
    <s v="Lunch"/>
    <n v="2"/>
    <n v="19.809999999999999"/>
    <n v="4.1900000000000004"/>
  </r>
  <r>
    <x v="1"/>
    <s v="Yes"/>
    <s v="Thur"/>
    <s v="Lunch"/>
    <n v="2"/>
    <n v="28.44"/>
    <n v="2.56"/>
  </r>
  <r>
    <x v="1"/>
    <s v="Yes"/>
    <s v="Thur"/>
    <s v="Lunch"/>
    <n v="2"/>
    <n v="15.48"/>
    <n v="2.02"/>
  </r>
  <r>
    <x v="1"/>
    <s v="Yes"/>
    <s v="Thur"/>
    <s v="Lunch"/>
    <n v="2"/>
    <n v="16.579999999999998"/>
    <n v="4"/>
  </r>
  <r>
    <x v="1"/>
    <s v="No"/>
    <s v="Thur"/>
    <s v="Lunch"/>
    <n v="2"/>
    <n v="7.56"/>
    <n v="1.44"/>
  </r>
  <r>
    <x v="1"/>
    <s v="Yes"/>
    <s v="Thur"/>
    <s v="Lunch"/>
    <n v="2"/>
    <n v="10.34"/>
    <n v="2"/>
  </r>
  <r>
    <x v="0"/>
    <s v="Yes"/>
    <s v="Thur"/>
    <s v="Lunch"/>
    <n v="4"/>
    <n v="43.11"/>
    <n v="5"/>
  </r>
  <r>
    <x v="0"/>
    <s v="Yes"/>
    <s v="Thur"/>
    <s v="Lunch"/>
    <n v="2"/>
    <n v="13"/>
    <n v="2"/>
  </r>
  <r>
    <x v="1"/>
    <s v="Yes"/>
    <s v="Thur"/>
    <s v="Lunch"/>
    <n v="2"/>
    <n v="13.51"/>
    <n v="2"/>
  </r>
  <r>
    <x v="1"/>
    <s v="Yes"/>
    <s v="Thur"/>
    <s v="Lunch"/>
    <n v="3"/>
    <n v="18.71"/>
    <n v="4"/>
  </r>
  <r>
    <x v="0"/>
    <s v="Yes"/>
    <s v="Thur"/>
    <s v="Lunch"/>
    <n v="2"/>
    <n v="12.74"/>
    <n v="2.0099999999999998"/>
  </r>
  <r>
    <x v="0"/>
    <s v="Yes"/>
    <s v="Thur"/>
    <s v="Lunch"/>
    <n v="2"/>
    <n v="16.399999999999999"/>
    <n v="2.5"/>
  </r>
  <r>
    <x v="1"/>
    <s v="Yes"/>
    <s v="Thur"/>
    <s v="Lunch"/>
    <n v="4"/>
    <n v="20.53"/>
    <n v="4"/>
  </r>
  <r>
    <x v="0"/>
    <s v="Yes"/>
    <s v="Thur"/>
    <s v="Lunch"/>
    <n v="3"/>
    <n v="16.47"/>
    <n v="3.23"/>
  </r>
  <r>
    <x v="1"/>
    <s v="Yes"/>
    <s v="Sat"/>
    <s v="Dinner"/>
    <n v="3"/>
    <n v="26.59"/>
    <n v="3.41"/>
  </r>
  <r>
    <x v="1"/>
    <s v="Yes"/>
    <s v="Sat"/>
    <s v="Dinner"/>
    <n v="4"/>
    <n v="38.729999999999997"/>
    <n v="3"/>
  </r>
  <r>
    <x v="1"/>
    <s v="Yes"/>
    <s v="Sat"/>
    <s v="Dinner"/>
    <n v="2"/>
    <n v="24.27"/>
    <n v="2.0299999999999998"/>
  </r>
  <r>
    <x v="0"/>
    <s v="Yes"/>
    <s v="Sat"/>
    <s v="Dinner"/>
    <n v="2"/>
    <n v="12.76"/>
    <n v="2.23"/>
  </r>
  <r>
    <x v="1"/>
    <s v="Yes"/>
    <s v="Sat"/>
    <s v="Dinner"/>
    <n v="3"/>
    <n v="30.06"/>
    <n v="2"/>
  </r>
  <r>
    <x v="1"/>
    <s v="Yes"/>
    <s v="Sat"/>
    <s v="Dinner"/>
    <n v="4"/>
    <n v="25.89"/>
    <n v="5.16"/>
  </r>
  <r>
    <x v="1"/>
    <s v="No"/>
    <s v="Sat"/>
    <s v="Dinner"/>
    <n v="4"/>
    <n v="48.33"/>
    <n v="9"/>
  </r>
  <r>
    <x v="0"/>
    <s v="Yes"/>
    <s v="Sat"/>
    <s v="Dinner"/>
    <n v="2"/>
    <n v="13.27"/>
    <n v="2.5"/>
  </r>
  <r>
    <x v="0"/>
    <s v="Yes"/>
    <s v="Sat"/>
    <s v="Dinner"/>
    <n v="3"/>
    <n v="28.17"/>
    <n v="6.5"/>
  </r>
  <r>
    <x v="0"/>
    <s v="Yes"/>
    <s v="Sat"/>
    <s v="Dinner"/>
    <n v="2"/>
    <n v="12.9"/>
    <n v="1.1000000000000001"/>
  </r>
  <r>
    <x v="1"/>
    <s v="Yes"/>
    <s v="Sat"/>
    <s v="Dinner"/>
    <n v="5"/>
    <n v="28.15"/>
    <n v="3"/>
  </r>
  <r>
    <x v="1"/>
    <s v="Yes"/>
    <s v="Sat"/>
    <s v="Dinner"/>
    <n v="2"/>
    <n v="11.59"/>
    <n v="1.5"/>
  </r>
  <r>
    <x v="1"/>
    <s v="Yes"/>
    <s v="Sat"/>
    <s v="Dinner"/>
    <n v="2"/>
    <n v="7.74"/>
    <n v="1.44"/>
  </r>
  <r>
    <x v="0"/>
    <s v="Yes"/>
    <s v="Sat"/>
    <s v="Dinner"/>
    <n v="4"/>
    <n v="30.14"/>
    <n v="3.09"/>
  </r>
  <r>
    <x v="1"/>
    <s v="Yes"/>
    <s v="Fri"/>
    <s v="Lunch"/>
    <n v="2"/>
    <n v="12.16"/>
    <n v="2.2000000000000002"/>
  </r>
  <r>
    <x v="0"/>
    <s v="Yes"/>
    <s v="Fri"/>
    <s v="Lunch"/>
    <n v="2"/>
    <n v="13.42"/>
    <n v="3.48"/>
  </r>
  <r>
    <x v="1"/>
    <s v="Yes"/>
    <s v="Fri"/>
    <s v="Lunch"/>
    <n v="1"/>
    <n v="8.58"/>
    <n v="1.92"/>
  </r>
  <r>
    <x v="0"/>
    <s v="No"/>
    <s v="Fri"/>
    <s v="Lunch"/>
    <n v="3"/>
    <n v="15.98"/>
    <n v="3"/>
  </r>
  <r>
    <x v="1"/>
    <s v="Yes"/>
    <s v="Fri"/>
    <s v="Lunch"/>
    <n v="2"/>
    <n v="13.42"/>
    <n v="1.58"/>
  </r>
  <r>
    <x v="0"/>
    <s v="Yes"/>
    <s v="Fri"/>
    <s v="Lunch"/>
    <n v="2"/>
    <n v="16.27"/>
    <n v="2.5"/>
  </r>
  <r>
    <x v="0"/>
    <s v="Yes"/>
    <s v="Fri"/>
    <s v="Lunch"/>
    <n v="2"/>
    <n v="10.09"/>
    <n v="2"/>
  </r>
  <r>
    <x v="1"/>
    <s v="No"/>
    <s v="Sat"/>
    <s v="Dinner"/>
    <n v="4"/>
    <n v="20.45"/>
    <n v="3"/>
  </r>
  <r>
    <x v="1"/>
    <s v="No"/>
    <s v="Sat"/>
    <s v="Dinner"/>
    <n v="2"/>
    <n v="13.28"/>
    <n v="2.72"/>
  </r>
  <r>
    <x v="0"/>
    <s v="Yes"/>
    <s v="Sat"/>
    <s v="Dinner"/>
    <n v="2"/>
    <n v="22.12"/>
    <n v="2.88"/>
  </r>
  <r>
    <x v="1"/>
    <s v="Yes"/>
    <s v="Sat"/>
    <s v="Dinner"/>
    <n v="4"/>
    <n v="24.01"/>
    <n v="2"/>
  </r>
  <r>
    <x v="1"/>
    <s v="Yes"/>
    <s v="Sat"/>
    <s v="Dinner"/>
    <n v="3"/>
    <n v="15.69"/>
    <n v="3"/>
  </r>
  <r>
    <x v="1"/>
    <s v="No"/>
    <s v="Sat"/>
    <s v="Dinner"/>
    <n v="2"/>
    <n v="11.61"/>
    <n v="3.39"/>
  </r>
  <r>
    <x v="1"/>
    <s v="No"/>
    <s v="Sat"/>
    <s v="Dinner"/>
    <n v="2"/>
    <n v="10.77"/>
    <n v="1.47"/>
  </r>
  <r>
    <x v="1"/>
    <s v="Yes"/>
    <s v="Sat"/>
    <s v="Dinner"/>
    <n v="2"/>
    <n v="15.53"/>
    <n v="3"/>
  </r>
  <r>
    <x v="1"/>
    <s v="No"/>
    <s v="Sat"/>
    <s v="Dinner"/>
    <n v="2"/>
    <n v="10.07"/>
    <n v="1.25"/>
  </r>
  <r>
    <x v="1"/>
    <s v="Yes"/>
    <s v="Sat"/>
    <s v="Dinner"/>
    <n v="2"/>
    <n v="12.6"/>
    <n v="1"/>
  </r>
  <r>
    <x v="1"/>
    <s v="Yes"/>
    <s v="Sat"/>
    <s v="Dinner"/>
    <n v="2"/>
    <n v="32.83"/>
    <n v="1.17"/>
  </r>
  <r>
    <x v="0"/>
    <s v="No"/>
    <s v="Sat"/>
    <s v="Dinner"/>
    <n v="3"/>
    <n v="35.83"/>
    <n v="4.67"/>
  </r>
  <r>
    <x v="1"/>
    <s v="No"/>
    <s v="Sat"/>
    <s v="Dinner"/>
    <n v="3"/>
    <n v="29.03"/>
    <n v="5.92"/>
  </r>
  <r>
    <x v="0"/>
    <s v="Yes"/>
    <s v="Sat"/>
    <s v="Dinner"/>
    <n v="2"/>
    <n v="27.18"/>
    <n v="2"/>
  </r>
  <r>
    <x v="1"/>
    <s v="Yes"/>
    <s v="Sat"/>
    <s v="Dinner"/>
    <n v="2"/>
    <n v="22.67"/>
    <n v="2"/>
  </r>
  <r>
    <x v="1"/>
    <s v="No"/>
    <s v="Sat"/>
    <s v="Dinner"/>
    <n v="2"/>
    <n v="17.82"/>
    <n v="1.75"/>
  </r>
  <r>
    <x v="0"/>
    <s v="No"/>
    <s v="Thur"/>
    <s v="Dinner"/>
    <n v="2"/>
    <n v="18.78"/>
    <n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649683D-B27C-47D0-8FC0-3C1E52F605B2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6">
  <location ref="A3:B6" firstHeaderRow="1" firstDataRow="1" firstDataCol="1"/>
  <pivotFields count="7"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dataField="1" showAll="0"/>
  </pivotFields>
  <rowFields count="1">
    <field x="0"/>
  </rowFields>
  <rowItems count="3">
    <i>
      <x/>
    </i>
    <i>
      <x v="1"/>
    </i>
    <i t="grand">
      <x/>
    </i>
  </rowItems>
  <colItems count="1">
    <i/>
  </colItems>
  <dataFields count="1">
    <dataField name="Sum of tip" fld="6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B3994EC-6CE8-4D7F-B508-CE16DFA995BF}" name="PivotTable2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20" firstHeaderRow="1" firstDataRow="1" firstDataCol="0"/>
  <pivotFields count="7">
    <pivotField showAll="0"/>
    <pivotField showAll="0"/>
    <pivotField showAll="0"/>
    <pivotField showAll="0"/>
    <pivotField showAll="0"/>
    <pivotField showAll="0"/>
    <pivotField showAll="0"/>
  </pivot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7EB0B-904D-4A32-AC49-EEE4C902527F}">
  <dimension ref="A1:K245"/>
  <sheetViews>
    <sheetView topLeftCell="A219" workbookViewId="0">
      <selection sqref="A1:G245"/>
    </sheetView>
  </sheetViews>
  <sheetFormatPr defaultColWidth="13.44140625" defaultRowHeight="14.4" x14ac:dyDescent="0.3"/>
  <cols>
    <col min="11" max="11" width="46" bestFit="1" customWidth="1"/>
  </cols>
  <sheetData>
    <row r="1" spans="1:1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11" x14ac:dyDescent="0.3">
      <c r="A2" t="s">
        <v>7</v>
      </c>
      <c r="B2" t="s">
        <v>8</v>
      </c>
      <c r="C2" t="s">
        <v>9</v>
      </c>
      <c r="D2" t="s">
        <v>10</v>
      </c>
      <c r="E2">
        <v>2</v>
      </c>
      <c r="F2">
        <v>16.989999999999998</v>
      </c>
      <c r="G2">
        <v>1.01</v>
      </c>
    </row>
    <row r="3" spans="1:11" x14ac:dyDescent="0.3">
      <c r="A3" t="s">
        <v>11</v>
      </c>
      <c r="B3" t="s">
        <v>8</v>
      </c>
      <c r="C3" t="s">
        <v>9</v>
      </c>
      <c r="D3" t="s">
        <v>10</v>
      </c>
      <c r="E3">
        <v>3</v>
      </c>
      <c r="F3">
        <v>10.34</v>
      </c>
      <c r="G3">
        <v>1.66</v>
      </c>
      <c r="J3" s="1" t="s">
        <v>12</v>
      </c>
      <c r="K3" s="1" t="s">
        <v>13</v>
      </c>
    </row>
    <row r="4" spans="1:11" x14ac:dyDescent="0.3">
      <c r="A4" t="s">
        <v>11</v>
      </c>
      <c r="B4" t="s">
        <v>8</v>
      </c>
      <c r="C4" t="s">
        <v>9</v>
      </c>
      <c r="D4" t="s">
        <v>10</v>
      </c>
      <c r="E4">
        <v>3</v>
      </c>
      <c r="F4">
        <v>21.01</v>
      </c>
      <c r="G4">
        <v>3.5</v>
      </c>
      <c r="J4" s="1" t="s">
        <v>1</v>
      </c>
      <c r="K4" s="1" t="s">
        <v>14</v>
      </c>
    </row>
    <row r="5" spans="1:11" x14ac:dyDescent="0.3">
      <c r="A5" t="s">
        <v>11</v>
      </c>
      <c r="B5" t="s">
        <v>8</v>
      </c>
      <c r="C5" t="s">
        <v>9</v>
      </c>
      <c r="D5" t="s">
        <v>10</v>
      </c>
      <c r="E5">
        <v>2</v>
      </c>
      <c r="F5">
        <v>23.68</v>
      </c>
      <c r="G5">
        <v>3.31</v>
      </c>
      <c r="J5" s="1" t="s">
        <v>2</v>
      </c>
      <c r="K5" s="1" t="s">
        <v>15</v>
      </c>
    </row>
    <row r="6" spans="1:11" x14ac:dyDescent="0.3">
      <c r="A6" t="s">
        <v>7</v>
      </c>
      <c r="B6" t="s">
        <v>8</v>
      </c>
      <c r="C6" t="s">
        <v>9</v>
      </c>
      <c r="D6" t="s">
        <v>10</v>
      </c>
      <c r="E6">
        <v>4</v>
      </c>
      <c r="F6">
        <v>24.59</v>
      </c>
      <c r="G6">
        <v>3.61</v>
      </c>
      <c r="J6" s="1" t="s">
        <v>3</v>
      </c>
      <c r="K6" s="1" t="s">
        <v>16</v>
      </c>
    </row>
    <row r="7" spans="1:11" x14ac:dyDescent="0.3">
      <c r="A7" t="s">
        <v>11</v>
      </c>
      <c r="B7" t="s">
        <v>8</v>
      </c>
      <c r="C7" t="s">
        <v>9</v>
      </c>
      <c r="D7" t="s">
        <v>10</v>
      </c>
      <c r="E7">
        <v>4</v>
      </c>
      <c r="F7">
        <v>25.29</v>
      </c>
      <c r="G7">
        <v>4.71</v>
      </c>
      <c r="J7" s="1" t="s">
        <v>4</v>
      </c>
      <c r="K7" s="1" t="s">
        <v>17</v>
      </c>
    </row>
    <row r="8" spans="1:11" x14ac:dyDescent="0.3">
      <c r="A8" t="s">
        <v>11</v>
      </c>
      <c r="B8" t="s">
        <v>8</v>
      </c>
      <c r="C8" t="s">
        <v>9</v>
      </c>
      <c r="D8" t="s">
        <v>10</v>
      </c>
      <c r="E8">
        <v>2</v>
      </c>
      <c r="F8">
        <v>8.77</v>
      </c>
      <c r="G8">
        <v>2</v>
      </c>
      <c r="J8" s="1" t="s">
        <v>18</v>
      </c>
      <c r="K8" s="1" t="s">
        <v>19</v>
      </c>
    </row>
    <row r="9" spans="1:11" x14ac:dyDescent="0.3">
      <c r="A9" t="s">
        <v>11</v>
      </c>
      <c r="B9" t="s">
        <v>8</v>
      </c>
      <c r="C9" t="s">
        <v>9</v>
      </c>
      <c r="D9" t="s">
        <v>10</v>
      </c>
      <c r="E9">
        <v>4</v>
      </c>
      <c r="F9">
        <v>26.88</v>
      </c>
      <c r="G9">
        <v>3.12</v>
      </c>
      <c r="J9" s="1" t="s">
        <v>6</v>
      </c>
      <c r="K9" s="1" t="s">
        <v>20</v>
      </c>
    </row>
    <row r="10" spans="1:11" x14ac:dyDescent="0.3">
      <c r="A10" t="s">
        <v>11</v>
      </c>
      <c r="B10" t="s">
        <v>8</v>
      </c>
      <c r="C10" t="s">
        <v>9</v>
      </c>
      <c r="D10" t="s">
        <v>10</v>
      </c>
      <c r="E10">
        <v>2</v>
      </c>
      <c r="F10">
        <v>15.04</v>
      </c>
      <c r="G10">
        <v>1.96</v>
      </c>
    </row>
    <row r="11" spans="1:11" x14ac:dyDescent="0.3">
      <c r="A11" t="s">
        <v>11</v>
      </c>
      <c r="B11" t="s">
        <v>8</v>
      </c>
      <c r="C11" t="s">
        <v>9</v>
      </c>
      <c r="D11" t="s">
        <v>10</v>
      </c>
      <c r="E11">
        <v>2</v>
      </c>
      <c r="F11">
        <v>14.78</v>
      </c>
      <c r="G11">
        <v>3.23</v>
      </c>
    </row>
    <row r="12" spans="1:11" x14ac:dyDescent="0.3">
      <c r="A12" t="s">
        <v>11</v>
      </c>
      <c r="B12" t="s">
        <v>8</v>
      </c>
      <c r="C12" t="s">
        <v>9</v>
      </c>
      <c r="D12" t="s">
        <v>10</v>
      </c>
      <c r="E12">
        <v>2</v>
      </c>
      <c r="F12">
        <v>10.27</v>
      </c>
      <c r="G12">
        <v>1.71</v>
      </c>
    </row>
    <row r="13" spans="1:11" x14ac:dyDescent="0.3">
      <c r="A13" t="s">
        <v>7</v>
      </c>
      <c r="B13" t="s">
        <v>8</v>
      </c>
      <c r="C13" t="s">
        <v>9</v>
      </c>
      <c r="D13" t="s">
        <v>10</v>
      </c>
      <c r="E13">
        <v>4</v>
      </c>
      <c r="F13">
        <v>35.26</v>
      </c>
      <c r="G13">
        <v>5</v>
      </c>
    </row>
    <row r="14" spans="1:11" x14ac:dyDescent="0.3">
      <c r="A14" t="s">
        <v>11</v>
      </c>
      <c r="B14" t="s">
        <v>8</v>
      </c>
      <c r="C14" t="s">
        <v>9</v>
      </c>
      <c r="D14" t="s">
        <v>10</v>
      </c>
      <c r="E14">
        <v>2</v>
      </c>
      <c r="F14">
        <v>15.42</v>
      </c>
      <c r="G14">
        <v>1.57</v>
      </c>
    </row>
    <row r="15" spans="1:11" x14ac:dyDescent="0.3">
      <c r="A15" t="s">
        <v>11</v>
      </c>
      <c r="B15" t="s">
        <v>8</v>
      </c>
      <c r="C15" t="s">
        <v>9</v>
      </c>
      <c r="D15" t="s">
        <v>10</v>
      </c>
      <c r="E15">
        <v>4</v>
      </c>
      <c r="F15">
        <v>18.43</v>
      </c>
      <c r="G15">
        <v>3</v>
      </c>
    </row>
    <row r="16" spans="1:11" x14ac:dyDescent="0.3">
      <c r="A16" t="s">
        <v>7</v>
      </c>
      <c r="B16" t="s">
        <v>8</v>
      </c>
      <c r="C16" t="s">
        <v>9</v>
      </c>
      <c r="D16" t="s">
        <v>10</v>
      </c>
      <c r="E16">
        <v>2</v>
      </c>
      <c r="F16">
        <v>14.83</v>
      </c>
      <c r="G16">
        <v>3.02</v>
      </c>
    </row>
    <row r="17" spans="1:7" x14ac:dyDescent="0.3">
      <c r="A17" t="s">
        <v>11</v>
      </c>
      <c r="B17" t="s">
        <v>8</v>
      </c>
      <c r="C17" t="s">
        <v>9</v>
      </c>
      <c r="D17" t="s">
        <v>10</v>
      </c>
      <c r="E17">
        <v>2</v>
      </c>
      <c r="F17">
        <v>21.58</v>
      </c>
      <c r="G17">
        <v>3.92</v>
      </c>
    </row>
    <row r="18" spans="1:7" x14ac:dyDescent="0.3">
      <c r="A18" t="s">
        <v>7</v>
      </c>
      <c r="B18" t="s">
        <v>8</v>
      </c>
      <c r="C18" t="s">
        <v>9</v>
      </c>
      <c r="D18" t="s">
        <v>10</v>
      </c>
      <c r="E18">
        <v>3</v>
      </c>
      <c r="F18">
        <v>10.33</v>
      </c>
      <c r="G18">
        <v>1.67</v>
      </c>
    </row>
    <row r="19" spans="1:7" x14ac:dyDescent="0.3">
      <c r="A19" t="s">
        <v>11</v>
      </c>
      <c r="B19" t="s">
        <v>8</v>
      </c>
      <c r="C19" t="s">
        <v>9</v>
      </c>
      <c r="D19" t="s">
        <v>10</v>
      </c>
      <c r="E19">
        <v>3</v>
      </c>
      <c r="F19">
        <v>16.29</v>
      </c>
      <c r="G19">
        <v>3.71</v>
      </c>
    </row>
    <row r="20" spans="1:7" x14ac:dyDescent="0.3">
      <c r="A20" t="s">
        <v>7</v>
      </c>
      <c r="B20" t="s">
        <v>8</v>
      </c>
      <c r="C20" t="s">
        <v>9</v>
      </c>
      <c r="D20" t="s">
        <v>10</v>
      </c>
      <c r="E20">
        <v>3</v>
      </c>
      <c r="F20">
        <v>16.97</v>
      </c>
      <c r="G20">
        <v>3.5</v>
      </c>
    </row>
    <row r="21" spans="1:7" x14ac:dyDescent="0.3">
      <c r="A21" t="s">
        <v>11</v>
      </c>
      <c r="B21" t="s">
        <v>8</v>
      </c>
      <c r="C21" t="s">
        <v>21</v>
      </c>
      <c r="D21" t="s">
        <v>10</v>
      </c>
      <c r="E21">
        <v>3</v>
      </c>
      <c r="F21">
        <v>20.65</v>
      </c>
      <c r="G21">
        <v>3.35</v>
      </c>
    </row>
    <row r="22" spans="1:7" x14ac:dyDescent="0.3">
      <c r="A22" t="s">
        <v>11</v>
      </c>
      <c r="B22" t="s">
        <v>8</v>
      </c>
      <c r="C22" t="s">
        <v>21</v>
      </c>
      <c r="D22" t="s">
        <v>10</v>
      </c>
      <c r="E22">
        <v>2</v>
      </c>
      <c r="F22">
        <v>17.920000000000002</v>
      </c>
      <c r="G22">
        <v>4.08</v>
      </c>
    </row>
    <row r="23" spans="1:7" x14ac:dyDescent="0.3">
      <c r="A23" t="s">
        <v>7</v>
      </c>
      <c r="B23" t="s">
        <v>8</v>
      </c>
      <c r="C23" t="s">
        <v>21</v>
      </c>
      <c r="D23" t="s">
        <v>10</v>
      </c>
      <c r="E23">
        <v>2</v>
      </c>
      <c r="F23">
        <v>20.29</v>
      </c>
      <c r="G23">
        <v>2.75</v>
      </c>
    </row>
    <row r="24" spans="1:7" x14ac:dyDescent="0.3">
      <c r="A24" t="s">
        <v>7</v>
      </c>
      <c r="B24" t="s">
        <v>8</v>
      </c>
      <c r="C24" t="s">
        <v>21</v>
      </c>
      <c r="D24" t="s">
        <v>10</v>
      </c>
      <c r="E24">
        <v>2</v>
      </c>
      <c r="F24">
        <v>15.77</v>
      </c>
      <c r="G24">
        <v>2.23</v>
      </c>
    </row>
    <row r="25" spans="1:7" x14ac:dyDescent="0.3">
      <c r="A25" t="s">
        <v>11</v>
      </c>
      <c r="B25" t="s">
        <v>8</v>
      </c>
      <c r="C25" t="s">
        <v>21</v>
      </c>
      <c r="D25" t="s">
        <v>10</v>
      </c>
      <c r="E25">
        <v>4</v>
      </c>
      <c r="F25">
        <v>39.42</v>
      </c>
      <c r="G25">
        <v>7.58</v>
      </c>
    </row>
    <row r="26" spans="1:7" x14ac:dyDescent="0.3">
      <c r="A26" t="s">
        <v>11</v>
      </c>
      <c r="B26" t="s">
        <v>8</v>
      </c>
      <c r="C26" t="s">
        <v>21</v>
      </c>
      <c r="D26" t="s">
        <v>10</v>
      </c>
      <c r="E26">
        <v>2</v>
      </c>
      <c r="F26">
        <v>19.82</v>
      </c>
      <c r="G26">
        <v>3.18</v>
      </c>
    </row>
    <row r="27" spans="1:7" x14ac:dyDescent="0.3">
      <c r="A27" t="s">
        <v>11</v>
      </c>
      <c r="B27" t="s">
        <v>8</v>
      </c>
      <c r="C27" t="s">
        <v>21</v>
      </c>
      <c r="D27" t="s">
        <v>10</v>
      </c>
      <c r="E27">
        <v>4</v>
      </c>
      <c r="F27">
        <v>17.809999999999999</v>
      </c>
      <c r="G27">
        <v>2.34</v>
      </c>
    </row>
    <row r="28" spans="1:7" x14ac:dyDescent="0.3">
      <c r="A28" t="s">
        <v>11</v>
      </c>
      <c r="B28" t="s">
        <v>8</v>
      </c>
      <c r="C28" t="s">
        <v>21</v>
      </c>
      <c r="D28" t="s">
        <v>10</v>
      </c>
      <c r="E28">
        <v>2</v>
      </c>
      <c r="F28">
        <v>13.37</v>
      </c>
      <c r="G28">
        <v>2</v>
      </c>
    </row>
    <row r="29" spans="1:7" x14ac:dyDescent="0.3">
      <c r="A29" t="s">
        <v>11</v>
      </c>
      <c r="B29" t="s">
        <v>8</v>
      </c>
      <c r="C29" t="s">
        <v>21</v>
      </c>
      <c r="D29" t="s">
        <v>10</v>
      </c>
      <c r="E29">
        <v>2</v>
      </c>
      <c r="F29">
        <v>12.69</v>
      </c>
      <c r="G29">
        <v>2</v>
      </c>
    </row>
    <row r="30" spans="1:7" x14ac:dyDescent="0.3">
      <c r="A30" t="s">
        <v>11</v>
      </c>
      <c r="B30" t="s">
        <v>8</v>
      </c>
      <c r="C30" t="s">
        <v>21</v>
      </c>
      <c r="D30" t="s">
        <v>10</v>
      </c>
      <c r="E30">
        <v>2</v>
      </c>
      <c r="F30">
        <v>21.7</v>
      </c>
      <c r="G30">
        <v>4.3</v>
      </c>
    </row>
    <row r="31" spans="1:7" x14ac:dyDescent="0.3">
      <c r="A31" t="s">
        <v>7</v>
      </c>
      <c r="B31" t="s">
        <v>8</v>
      </c>
      <c r="C31" t="s">
        <v>21</v>
      </c>
      <c r="D31" t="s">
        <v>10</v>
      </c>
      <c r="E31">
        <v>2</v>
      </c>
      <c r="F31">
        <v>19.649999999999999</v>
      </c>
      <c r="G31">
        <v>3</v>
      </c>
    </row>
    <row r="32" spans="1:7" x14ac:dyDescent="0.3">
      <c r="A32" t="s">
        <v>11</v>
      </c>
      <c r="B32" t="s">
        <v>8</v>
      </c>
      <c r="C32" t="s">
        <v>21</v>
      </c>
      <c r="D32" t="s">
        <v>10</v>
      </c>
      <c r="E32">
        <v>2</v>
      </c>
      <c r="F32">
        <v>9.5500000000000007</v>
      </c>
      <c r="G32">
        <v>1.45</v>
      </c>
    </row>
    <row r="33" spans="1:7" x14ac:dyDescent="0.3">
      <c r="A33" t="s">
        <v>11</v>
      </c>
      <c r="B33" t="s">
        <v>8</v>
      </c>
      <c r="C33" t="s">
        <v>21</v>
      </c>
      <c r="D33" t="s">
        <v>10</v>
      </c>
      <c r="E33">
        <v>4</v>
      </c>
      <c r="F33">
        <v>18.350000000000001</v>
      </c>
      <c r="G33">
        <v>2.5</v>
      </c>
    </row>
    <row r="34" spans="1:7" x14ac:dyDescent="0.3">
      <c r="A34" t="s">
        <v>7</v>
      </c>
      <c r="B34" t="s">
        <v>8</v>
      </c>
      <c r="C34" t="s">
        <v>21</v>
      </c>
      <c r="D34" t="s">
        <v>10</v>
      </c>
      <c r="E34">
        <v>2</v>
      </c>
      <c r="F34">
        <v>15.06</v>
      </c>
      <c r="G34">
        <v>3</v>
      </c>
    </row>
    <row r="35" spans="1:7" x14ac:dyDescent="0.3">
      <c r="A35" t="s">
        <v>7</v>
      </c>
      <c r="B35" t="s">
        <v>8</v>
      </c>
      <c r="C35" t="s">
        <v>21</v>
      </c>
      <c r="D35" t="s">
        <v>10</v>
      </c>
      <c r="E35">
        <v>4</v>
      </c>
      <c r="F35">
        <v>20.69</v>
      </c>
      <c r="G35">
        <v>2.4500000000000002</v>
      </c>
    </row>
    <row r="36" spans="1:7" x14ac:dyDescent="0.3">
      <c r="A36" t="s">
        <v>11</v>
      </c>
      <c r="B36" t="s">
        <v>8</v>
      </c>
      <c r="C36" t="s">
        <v>21</v>
      </c>
      <c r="D36" t="s">
        <v>10</v>
      </c>
      <c r="E36">
        <v>2</v>
      </c>
      <c r="F36">
        <v>17.78</v>
      </c>
      <c r="G36">
        <v>3.27</v>
      </c>
    </row>
    <row r="37" spans="1:7" x14ac:dyDescent="0.3">
      <c r="A37" t="s">
        <v>11</v>
      </c>
      <c r="B37" t="s">
        <v>8</v>
      </c>
      <c r="C37" t="s">
        <v>21</v>
      </c>
      <c r="D37" t="s">
        <v>10</v>
      </c>
      <c r="E37">
        <v>3</v>
      </c>
      <c r="F37">
        <v>24.06</v>
      </c>
      <c r="G37">
        <v>3.6</v>
      </c>
    </row>
    <row r="38" spans="1:7" x14ac:dyDescent="0.3">
      <c r="A38" t="s">
        <v>11</v>
      </c>
      <c r="B38" t="s">
        <v>8</v>
      </c>
      <c r="C38" t="s">
        <v>21</v>
      </c>
      <c r="D38" t="s">
        <v>10</v>
      </c>
      <c r="E38">
        <v>3</v>
      </c>
      <c r="F38">
        <v>16.309999999999999</v>
      </c>
      <c r="G38">
        <v>2</v>
      </c>
    </row>
    <row r="39" spans="1:7" x14ac:dyDescent="0.3">
      <c r="A39" t="s">
        <v>7</v>
      </c>
      <c r="B39" t="s">
        <v>8</v>
      </c>
      <c r="C39" t="s">
        <v>21</v>
      </c>
      <c r="D39" t="s">
        <v>10</v>
      </c>
      <c r="E39">
        <v>3</v>
      </c>
      <c r="F39">
        <v>16.93</v>
      </c>
      <c r="G39">
        <v>3.07</v>
      </c>
    </row>
    <row r="40" spans="1:7" x14ac:dyDescent="0.3">
      <c r="A40" t="s">
        <v>11</v>
      </c>
      <c r="B40" t="s">
        <v>8</v>
      </c>
      <c r="C40" t="s">
        <v>21</v>
      </c>
      <c r="D40" t="s">
        <v>10</v>
      </c>
      <c r="E40">
        <v>3</v>
      </c>
      <c r="F40">
        <v>18.690000000000001</v>
      </c>
      <c r="G40">
        <v>2.31</v>
      </c>
    </row>
    <row r="41" spans="1:7" x14ac:dyDescent="0.3">
      <c r="A41" t="s">
        <v>11</v>
      </c>
      <c r="B41" t="s">
        <v>8</v>
      </c>
      <c r="C41" t="s">
        <v>21</v>
      </c>
      <c r="D41" t="s">
        <v>10</v>
      </c>
      <c r="E41">
        <v>3</v>
      </c>
      <c r="F41">
        <v>31.27</v>
      </c>
      <c r="G41">
        <v>5</v>
      </c>
    </row>
    <row r="42" spans="1:7" x14ac:dyDescent="0.3">
      <c r="A42" t="s">
        <v>11</v>
      </c>
      <c r="B42" t="s">
        <v>8</v>
      </c>
      <c r="C42" t="s">
        <v>21</v>
      </c>
      <c r="D42" t="s">
        <v>10</v>
      </c>
      <c r="E42">
        <v>3</v>
      </c>
      <c r="F42">
        <v>16.04</v>
      </c>
      <c r="G42">
        <v>2.2400000000000002</v>
      </c>
    </row>
    <row r="43" spans="1:7" x14ac:dyDescent="0.3">
      <c r="A43" t="s">
        <v>11</v>
      </c>
      <c r="B43" t="s">
        <v>8</v>
      </c>
      <c r="C43" t="s">
        <v>9</v>
      </c>
      <c r="D43" t="s">
        <v>10</v>
      </c>
      <c r="E43">
        <v>2</v>
      </c>
      <c r="F43">
        <v>17.46</v>
      </c>
      <c r="G43">
        <v>2.54</v>
      </c>
    </row>
    <row r="44" spans="1:7" x14ac:dyDescent="0.3">
      <c r="A44" t="s">
        <v>11</v>
      </c>
      <c r="B44" t="s">
        <v>8</v>
      </c>
      <c r="C44" t="s">
        <v>9</v>
      </c>
      <c r="D44" t="s">
        <v>10</v>
      </c>
      <c r="E44">
        <v>2</v>
      </c>
      <c r="F44">
        <v>13.94</v>
      </c>
      <c r="G44">
        <v>3.06</v>
      </c>
    </row>
    <row r="45" spans="1:7" x14ac:dyDescent="0.3">
      <c r="A45" t="s">
        <v>11</v>
      </c>
      <c r="B45" t="s">
        <v>8</v>
      </c>
      <c r="C45" t="s">
        <v>9</v>
      </c>
      <c r="D45" t="s">
        <v>10</v>
      </c>
      <c r="E45">
        <v>2</v>
      </c>
      <c r="F45">
        <v>9.68</v>
      </c>
      <c r="G45">
        <v>1.32</v>
      </c>
    </row>
    <row r="46" spans="1:7" x14ac:dyDescent="0.3">
      <c r="A46" t="s">
        <v>11</v>
      </c>
      <c r="B46" t="s">
        <v>8</v>
      </c>
      <c r="C46" t="s">
        <v>9</v>
      </c>
      <c r="D46" t="s">
        <v>10</v>
      </c>
      <c r="E46">
        <v>4</v>
      </c>
      <c r="F46">
        <v>30.4</v>
      </c>
      <c r="G46">
        <v>5.6</v>
      </c>
    </row>
    <row r="47" spans="1:7" x14ac:dyDescent="0.3">
      <c r="A47" t="s">
        <v>11</v>
      </c>
      <c r="B47" t="s">
        <v>8</v>
      </c>
      <c r="C47" t="s">
        <v>9</v>
      </c>
      <c r="D47" t="s">
        <v>10</v>
      </c>
      <c r="E47">
        <v>2</v>
      </c>
      <c r="F47">
        <v>18.29</v>
      </c>
      <c r="G47">
        <v>3</v>
      </c>
    </row>
    <row r="48" spans="1:7" x14ac:dyDescent="0.3">
      <c r="A48" t="s">
        <v>11</v>
      </c>
      <c r="B48" t="s">
        <v>8</v>
      </c>
      <c r="C48" t="s">
        <v>9</v>
      </c>
      <c r="D48" t="s">
        <v>10</v>
      </c>
      <c r="E48">
        <v>2</v>
      </c>
      <c r="F48">
        <v>22.23</v>
      </c>
      <c r="G48">
        <v>5</v>
      </c>
    </row>
    <row r="49" spans="1:7" x14ac:dyDescent="0.3">
      <c r="A49" t="s">
        <v>11</v>
      </c>
      <c r="B49" t="s">
        <v>8</v>
      </c>
      <c r="C49" t="s">
        <v>9</v>
      </c>
      <c r="D49" t="s">
        <v>10</v>
      </c>
      <c r="E49">
        <v>4</v>
      </c>
      <c r="F49">
        <v>32.4</v>
      </c>
      <c r="G49">
        <v>6</v>
      </c>
    </row>
    <row r="50" spans="1:7" x14ac:dyDescent="0.3">
      <c r="A50" t="s">
        <v>11</v>
      </c>
      <c r="B50" t="s">
        <v>8</v>
      </c>
      <c r="C50" t="s">
        <v>9</v>
      </c>
      <c r="D50" t="s">
        <v>10</v>
      </c>
      <c r="E50">
        <v>3</v>
      </c>
      <c r="F50">
        <v>28.55</v>
      </c>
      <c r="G50">
        <v>2.0499999999999998</v>
      </c>
    </row>
    <row r="51" spans="1:7" x14ac:dyDescent="0.3">
      <c r="A51" t="s">
        <v>11</v>
      </c>
      <c r="B51" t="s">
        <v>8</v>
      </c>
      <c r="C51" t="s">
        <v>9</v>
      </c>
      <c r="D51" t="s">
        <v>10</v>
      </c>
      <c r="E51">
        <v>2</v>
      </c>
      <c r="F51">
        <v>18.04</v>
      </c>
      <c r="G51">
        <v>3</v>
      </c>
    </row>
    <row r="52" spans="1:7" x14ac:dyDescent="0.3">
      <c r="A52" t="s">
        <v>11</v>
      </c>
      <c r="B52" t="s">
        <v>8</v>
      </c>
      <c r="C52" t="s">
        <v>9</v>
      </c>
      <c r="D52" t="s">
        <v>10</v>
      </c>
      <c r="E52">
        <v>2</v>
      </c>
      <c r="F52">
        <v>12.54</v>
      </c>
      <c r="G52">
        <v>2.5</v>
      </c>
    </row>
    <row r="53" spans="1:7" x14ac:dyDescent="0.3">
      <c r="A53" t="s">
        <v>7</v>
      </c>
      <c r="B53" t="s">
        <v>8</v>
      </c>
      <c r="C53" t="s">
        <v>9</v>
      </c>
      <c r="D53" t="s">
        <v>10</v>
      </c>
      <c r="E53">
        <v>2</v>
      </c>
      <c r="F53">
        <v>10.29</v>
      </c>
      <c r="G53">
        <v>2.6</v>
      </c>
    </row>
    <row r="54" spans="1:7" x14ac:dyDescent="0.3">
      <c r="A54" t="s">
        <v>7</v>
      </c>
      <c r="B54" t="s">
        <v>8</v>
      </c>
      <c r="C54" t="s">
        <v>9</v>
      </c>
      <c r="D54" t="s">
        <v>10</v>
      </c>
      <c r="E54">
        <v>4</v>
      </c>
      <c r="F54">
        <v>34.81</v>
      </c>
      <c r="G54">
        <v>5.2</v>
      </c>
    </row>
    <row r="55" spans="1:7" x14ac:dyDescent="0.3">
      <c r="A55" t="s">
        <v>11</v>
      </c>
      <c r="B55" t="s">
        <v>8</v>
      </c>
      <c r="C55" t="s">
        <v>9</v>
      </c>
      <c r="D55" t="s">
        <v>10</v>
      </c>
      <c r="E55">
        <v>2</v>
      </c>
      <c r="F55">
        <v>9.94</v>
      </c>
      <c r="G55">
        <v>1.56</v>
      </c>
    </row>
    <row r="56" spans="1:7" x14ac:dyDescent="0.3">
      <c r="A56" t="s">
        <v>11</v>
      </c>
      <c r="B56" t="s">
        <v>8</v>
      </c>
      <c r="C56" t="s">
        <v>9</v>
      </c>
      <c r="D56" t="s">
        <v>10</v>
      </c>
      <c r="E56">
        <v>4</v>
      </c>
      <c r="F56">
        <v>25.56</v>
      </c>
      <c r="G56">
        <v>4.34</v>
      </c>
    </row>
    <row r="57" spans="1:7" x14ac:dyDescent="0.3">
      <c r="A57" t="s">
        <v>11</v>
      </c>
      <c r="B57" t="s">
        <v>8</v>
      </c>
      <c r="C57" t="s">
        <v>9</v>
      </c>
      <c r="D57" t="s">
        <v>10</v>
      </c>
      <c r="E57">
        <v>2</v>
      </c>
      <c r="F57">
        <v>19.489999999999998</v>
      </c>
      <c r="G57">
        <v>3.51</v>
      </c>
    </row>
    <row r="58" spans="1:7" x14ac:dyDescent="0.3">
      <c r="A58" t="s">
        <v>11</v>
      </c>
      <c r="B58" t="s">
        <v>22</v>
      </c>
      <c r="C58" t="s">
        <v>21</v>
      </c>
      <c r="D58" t="s">
        <v>10</v>
      </c>
      <c r="E58">
        <v>4</v>
      </c>
      <c r="F58">
        <v>38.01</v>
      </c>
      <c r="G58">
        <v>3</v>
      </c>
    </row>
    <row r="59" spans="1:7" x14ac:dyDescent="0.3">
      <c r="A59" t="s">
        <v>7</v>
      </c>
      <c r="B59" t="s">
        <v>8</v>
      </c>
      <c r="C59" t="s">
        <v>21</v>
      </c>
      <c r="D59" t="s">
        <v>10</v>
      </c>
      <c r="E59">
        <v>2</v>
      </c>
      <c r="F59">
        <v>26.41</v>
      </c>
      <c r="G59">
        <v>1.5</v>
      </c>
    </row>
    <row r="60" spans="1:7" x14ac:dyDescent="0.3">
      <c r="A60" t="s">
        <v>11</v>
      </c>
      <c r="B60" t="s">
        <v>22</v>
      </c>
      <c r="C60" t="s">
        <v>21</v>
      </c>
      <c r="D60" t="s">
        <v>10</v>
      </c>
      <c r="E60">
        <v>2</v>
      </c>
      <c r="F60">
        <v>11.24</v>
      </c>
      <c r="G60">
        <v>1.76</v>
      </c>
    </row>
    <row r="61" spans="1:7" x14ac:dyDescent="0.3">
      <c r="A61" t="s">
        <v>11</v>
      </c>
      <c r="B61" t="s">
        <v>8</v>
      </c>
      <c r="C61" t="s">
        <v>21</v>
      </c>
      <c r="D61" t="s">
        <v>10</v>
      </c>
      <c r="E61">
        <v>4</v>
      </c>
      <c r="F61">
        <v>48.27</v>
      </c>
      <c r="G61">
        <v>6.73</v>
      </c>
    </row>
    <row r="62" spans="1:7" x14ac:dyDescent="0.3">
      <c r="A62" t="s">
        <v>11</v>
      </c>
      <c r="B62" t="s">
        <v>22</v>
      </c>
      <c r="C62" t="s">
        <v>21</v>
      </c>
      <c r="D62" t="s">
        <v>10</v>
      </c>
      <c r="E62">
        <v>2</v>
      </c>
      <c r="F62">
        <v>20.29</v>
      </c>
      <c r="G62">
        <v>3.21</v>
      </c>
    </row>
    <row r="63" spans="1:7" x14ac:dyDescent="0.3">
      <c r="A63" t="s">
        <v>11</v>
      </c>
      <c r="B63" t="s">
        <v>22</v>
      </c>
      <c r="C63" t="s">
        <v>21</v>
      </c>
      <c r="D63" t="s">
        <v>10</v>
      </c>
      <c r="E63">
        <v>2</v>
      </c>
      <c r="F63">
        <v>13.81</v>
      </c>
      <c r="G63">
        <v>2</v>
      </c>
    </row>
    <row r="64" spans="1:7" x14ac:dyDescent="0.3">
      <c r="A64" t="s">
        <v>11</v>
      </c>
      <c r="B64" t="s">
        <v>22</v>
      </c>
      <c r="C64" t="s">
        <v>21</v>
      </c>
      <c r="D64" t="s">
        <v>10</v>
      </c>
      <c r="E64">
        <v>2</v>
      </c>
      <c r="F64">
        <v>11.02</v>
      </c>
      <c r="G64">
        <v>1.98</v>
      </c>
    </row>
    <row r="65" spans="1:7" x14ac:dyDescent="0.3">
      <c r="A65" t="s">
        <v>11</v>
      </c>
      <c r="B65" t="s">
        <v>22</v>
      </c>
      <c r="C65" t="s">
        <v>21</v>
      </c>
      <c r="D65" t="s">
        <v>10</v>
      </c>
      <c r="E65">
        <v>4</v>
      </c>
      <c r="F65">
        <v>18.29</v>
      </c>
      <c r="G65">
        <v>3.76</v>
      </c>
    </row>
    <row r="66" spans="1:7" x14ac:dyDescent="0.3">
      <c r="A66" t="s">
        <v>11</v>
      </c>
      <c r="B66" t="s">
        <v>8</v>
      </c>
      <c r="C66" t="s">
        <v>21</v>
      </c>
      <c r="D66" t="s">
        <v>10</v>
      </c>
      <c r="E66">
        <v>3</v>
      </c>
      <c r="F66">
        <v>17.59</v>
      </c>
      <c r="G66">
        <v>2.64</v>
      </c>
    </row>
    <row r="67" spans="1:7" x14ac:dyDescent="0.3">
      <c r="A67" t="s">
        <v>11</v>
      </c>
      <c r="B67" t="s">
        <v>8</v>
      </c>
      <c r="C67" t="s">
        <v>21</v>
      </c>
      <c r="D67" t="s">
        <v>10</v>
      </c>
      <c r="E67">
        <v>3</v>
      </c>
      <c r="F67">
        <v>20.079999999999998</v>
      </c>
      <c r="G67">
        <v>3.15</v>
      </c>
    </row>
    <row r="68" spans="1:7" x14ac:dyDescent="0.3">
      <c r="A68" t="s">
        <v>7</v>
      </c>
      <c r="B68" t="s">
        <v>8</v>
      </c>
      <c r="C68" t="s">
        <v>21</v>
      </c>
      <c r="D68" t="s">
        <v>10</v>
      </c>
      <c r="E68">
        <v>2</v>
      </c>
      <c r="F68">
        <v>16.45</v>
      </c>
      <c r="G68">
        <v>2.4700000000000002</v>
      </c>
    </row>
    <row r="69" spans="1:7" x14ac:dyDescent="0.3">
      <c r="A69" t="s">
        <v>7</v>
      </c>
      <c r="B69" t="s">
        <v>22</v>
      </c>
      <c r="C69" t="s">
        <v>21</v>
      </c>
      <c r="D69" t="s">
        <v>10</v>
      </c>
      <c r="E69">
        <v>1</v>
      </c>
      <c r="F69">
        <v>3.07</v>
      </c>
      <c r="G69">
        <v>1</v>
      </c>
    </row>
    <row r="70" spans="1:7" x14ac:dyDescent="0.3">
      <c r="A70" t="s">
        <v>11</v>
      </c>
      <c r="B70" t="s">
        <v>8</v>
      </c>
      <c r="C70" t="s">
        <v>21</v>
      </c>
      <c r="D70" t="s">
        <v>10</v>
      </c>
      <c r="E70">
        <v>2</v>
      </c>
      <c r="F70">
        <v>20.23</v>
      </c>
      <c r="G70">
        <v>2.0099999999999998</v>
      </c>
    </row>
    <row r="71" spans="1:7" x14ac:dyDescent="0.3">
      <c r="A71" t="s">
        <v>11</v>
      </c>
      <c r="B71" t="s">
        <v>22</v>
      </c>
      <c r="C71" t="s">
        <v>21</v>
      </c>
      <c r="D71" t="s">
        <v>10</v>
      </c>
      <c r="E71">
        <v>2</v>
      </c>
      <c r="F71">
        <v>15.01</v>
      </c>
      <c r="G71">
        <v>2.09</v>
      </c>
    </row>
    <row r="72" spans="1:7" x14ac:dyDescent="0.3">
      <c r="A72" t="s">
        <v>11</v>
      </c>
      <c r="B72" t="s">
        <v>8</v>
      </c>
      <c r="C72" t="s">
        <v>21</v>
      </c>
      <c r="D72" t="s">
        <v>10</v>
      </c>
      <c r="E72">
        <v>2</v>
      </c>
      <c r="F72">
        <v>12.02</v>
      </c>
      <c r="G72">
        <v>1.97</v>
      </c>
    </row>
    <row r="73" spans="1:7" x14ac:dyDescent="0.3">
      <c r="A73" t="s">
        <v>7</v>
      </c>
      <c r="B73" t="s">
        <v>8</v>
      </c>
      <c r="C73" t="s">
        <v>21</v>
      </c>
      <c r="D73" t="s">
        <v>10</v>
      </c>
      <c r="E73">
        <v>3</v>
      </c>
      <c r="F73">
        <v>17.07</v>
      </c>
      <c r="G73">
        <v>3</v>
      </c>
    </row>
    <row r="74" spans="1:7" x14ac:dyDescent="0.3">
      <c r="A74" t="s">
        <v>7</v>
      </c>
      <c r="B74" t="s">
        <v>22</v>
      </c>
      <c r="C74" t="s">
        <v>21</v>
      </c>
      <c r="D74" t="s">
        <v>10</v>
      </c>
      <c r="E74">
        <v>2</v>
      </c>
      <c r="F74">
        <v>26.86</v>
      </c>
      <c r="G74">
        <v>3.14</v>
      </c>
    </row>
    <row r="75" spans="1:7" x14ac:dyDescent="0.3">
      <c r="A75" t="s">
        <v>7</v>
      </c>
      <c r="B75" t="s">
        <v>22</v>
      </c>
      <c r="C75" t="s">
        <v>21</v>
      </c>
      <c r="D75" t="s">
        <v>10</v>
      </c>
      <c r="E75">
        <v>2</v>
      </c>
      <c r="F75">
        <v>25.28</v>
      </c>
      <c r="G75">
        <v>5</v>
      </c>
    </row>
    <row r="76" spans="1:7" x14ac:dyDescent="0.3">
      <c r="A76" t="s">
        <v>7</v>
      </c>
      <c r="B76" t="s">
        <v>8</v>
      </c>
      <c r="C76" t="s">
        <v>21</v>
      </c>
      <c r="D76" t="s">
        <v>10</v>
      </c>
      <c r="E76">
        <v>2</v>
      </c>
      <c r="F76">
        <v>14.73</v>
      </c>
      <c r="G76">
        <v>2.2000000000000002</v>
      </c>
    </row>
    <row r="77" spans="1:7" x14ac:dyDescent="0.3">
      <c r="A77" t="s">
        <v>11</v>
      </c>
      <c r="B77" t="s">
        <v>8</v>
      </c>
      <c r="C77" t="s">
        <v>21</v>
      </c>
      <c r="D77" t="s">
        <v>10</v>
      </c>
      <c r="E77">
        <v>2</v>
      </c>
      <c r="F77">
        <v>10.51</v>
      </c>
      <c r="G77">
        <v>1.25</v>
      </c>
    </row>
    <row r="78" spans="1:7" x14ac:dyDescent="0.3">
      <c r="A78" t="s">
        <v>11</v>
      </c>
      <c r="B78" t="s">
        <v>22</v>
      </c>
      <c r="C78" t="s">
        <v>21</v>
      </c>
      <c r="D78" t="s">
        <v>10</v>
      </c>
      <c r="E78">
        <v>2</v>
      </c>
      <c r="F78">
        <v>17.920000000000002</v>
      </c>
      <c r="G78">
        <v>3.08</v>
      </c>
    </row>
    <row r="79" spans="1:7" x14ac:dyDescent="0.3">
      <c r="A79" t="s">
        <v>11</v>
      </c>
      <c r="B79" t="s">
        <v>8</v>
      </c>
      <c r="C79" t="s">
        <v>23</v>
      </c>
      <c r="D79" t="s">
        <v>24</v>
      </c>
      <c r="E79">
        <v>4</v>
      </c>
      <c r="F79">
        <v>27.2</v>
      </c>
      <c r="G79">
        <v>4</v>
      </c>
    </row>
    <row r="80" spans="1:7" x14ac:dyDescent="0.3">
      <c r="A80" t="s">
        <v>11</v>
      </c>
      <c r="B80" t="s">
        <v>8</v>
      </c>
      <c r="C80" t="s">
        <v>23</v>
      </c>
      <c r="D80" t="s">
        <v>24</v>
      </c>
      <c r="E80">
        <v>2</v>
      </c>
      <c r="F80">
        <v>22.76</v>
      </c>
      <c r="G80">
        <v>3</v>
      </c>
    </row>
    <row r="81" spans="1:7" x14ac:dyDescent="0.3">
      <c r="A81" t="s">
        <v>11</v>
      </c>
      <c r="B81" t="s">
        <v>8</v>
      </c>
      <c r="C81" t="s">
        <v>23</v>
      </c>
      <c r="D81" t="s">
        <v>24</v>
      </c>
      <c r="E81">
        <v>2</v>
      </c>
      <c r="F81">
        <v>17.29</v>
      </c>
      <c r="G81">
        <v>2.71</v>
      </c>
    </row>
    <row r="82" spans="1:7" x14ac:dyDescent="0.3">
      <c r="A82" t="s">
        <v>11</v>
      </c>
      <c r="B82" t="s">
        <v>22</v>
      </c>
      <c r="C82" t="s">
        <v>23</v>
      </c>
      <c r="D82" t="s">
        <v>24</v>
      </c>
      <c r="E82">
        <v>2</v>
      </c>
      <c r="F82">
        <v>19.440000000000001</v>
      </c>
      <c r="G82">
        <v>3</v>
      </c>
    </row>
    <row r="83" spans="1:7" x14ac:dyDescent="0.3">
      <c r="A83" t="s">
        <v>11</v>
      </c>
      <c r="B83" t="s">
        <v>8</v>
      </c>
      <c r="C83" t="s">
        <v>23</v>
      </c>
      <c r="D83" t="s">
        <v>24</v>
      </c>
      <c r="E83">
        <v>2</v>
      </c>
      <c r="F83">
        <v>16.66</v>
      </c>
      <c r="G83">
        <v>3.4</v>
      </c>
    </row>
    <row r="84" spans="1:7" x14ac:dyDescent="0.3">
      <c r="A84" t="s">
        <v>7</v>
      </c>
      <c r="B84" t="s">
        <v>8</v>
      </c>
      <c r="C84" t="s">
        <v>23</v>
      </c>
      <c r="D84" t="s">
        <v>24</v>
      </c>
      <c r="E84">
        <v>1</v>
      </c>
      <c r="F84">
        <v>10.07</v>
      </c>
      <c r="G84">
        <v>1.83</v>
      </c>
    </row>
    <row r="85" spans="1:7" x14ac:dyDescent="0.3">
      <c r="A85" t="s">
        <v>11</v>
      </c>
      <c r="B85" t="s">
        <v>22</v>
      </c>
      <c r="C85" t="s">
        <v>23</v>
      </c>
      <c r="D85" t="s">
        <v>24</v>
      </c>
      <c r="E85">
        <v>2</v>
      </c>
      <c r="F85">
        <v>32.68</v>
      </c>
      <c r="G85">
        <v>5</v>
      </c>
    </row>
    <row r="86" spans="1:7" x14ac:dyDescent="0.3">
      <c r="A86" t="s">
        <v>11</v>
      </c>
      <c r="B86" t="s">
        <v>8</v>
      </c>
      <c r="C86" t="s">
        <v>23</v>
      </c>
      <c r="D86" t="s">
        <v>24</v>
      </c>
      <c r="E86">
        <v>2</v>
      </c>
      <c r="F86">
        <v>15.98</v>
      </c>
      <c r="G86">
        <v>2.0299999999999998</v>
      </c>
    </row>
    <row r="87" spans="1:7" x14ac:dyDescent="0.3">
      <c r="A87" t="s">
        <v>7</v>
      </c>
      <c r="B87" t="s">
        <v>8</v>
      </c>
      <c r="C87" t="s">
        <v>23</v>
      </c>
      <c r="D87" t="s">
        <v>24</v>
      </c>
      <c r="E87">
        <v>4</v>
      </c>
      <c r="F87">
        <v>34.83</v>
      </c>
      <c r="G87">
        <v>5.17</v>
      </c>
    </row>
    <row r="88" spans="1:7" x14ac:dyDescent="0.3">
      <c r="A88" t="s">
        <v>11</v>
      </c>
      <c r="B88" t="s">
        <v>8</v>
      </c>
      <c r="C88" t="s">
        <v>23</v>
      </c>
      <c r="D88" t="s">
        <v>24</v>
      </c>
      <c r="E88">
        <v>2</v>
      </c>
      <c r="F88">
        <v>13.03</v>
      </c>
      <c r="G88">
        <v>2</v>
      </c>
    </row>
    <row r="89" spans="1:7" x14ac:dyDescent="0.3">
      <c r="A89" t="s">
        <v>11</v>
      </c>
      <c r="B89" t="s">
        <v>8</v>
      </c>
      <c r="C89" t="s">
        <v>23</v>
      </c>
      <c r="D89" t="s">
        <v>24</v>
      </c>
      <c r="E89">
        <v>2</v>
      </c>
      <c r="F89">
        <v>18.28</v>
      </c>
      <c r="G89">
        <v>4</v>
      </c>
    </row>
    <row r="90" spans="1:7" x14ac:dyDescent="0.3">
      <c r="A90" t="s">
        <v>11</v>
      </c>
      <c r="B90" t="s">
        <v>8</v>
      </c>
      <c r="C90" t="s">
        <v>23</v>
      </c>
      <c r="D90" t="s">
        <v>24</v>
      </c>
      <c r="E90">
        <v>2</v>
      </c>
      <c r="F90">
        <v>24.71</v>
      </c>
      <c r="G90">
        <v>5.85</v>
      </c>
    </row>
    <row r="91" spans="1:7" x14ac:dyDescent="0.3">
      <c r="A91" t="s">
        <v>11</v>
      </c>
      <c r="B91" t="s">
        <v>8</v>
      </c>
      <c r="C91" t="s">
        <v>23</v>
      </c>
      <c r="D91" t="s">
        <v>24</v>
      </c>
      <c r="E91">
        <v>2</v>
      </c>
      <c r="F91">
        <v>21.16</v>
      </c>
      <c r="G91">
        <v>3</v>
      </c>
    </row>
    <row r="92" spans="1:7" x14ac:dyDescent="0.3">
      <c r="A92" t="s">
        <v>11</v>
      </c>
      <c r="B92" t="s">
        <v>22</v>
      </c>
      <c r="C92" t="s">
        <v>25</v>
      </c>
      <c r="D92" t="s">
        <v>10</v>
      </c>
      <c r="E92">
        <v>2</v>
      </c>
      <c r="F92">
        <v>28.97</v>
      </c>
      <c r="G92">
        <v>3</v>
      </c>
    </row>
    <row r="93" spans="1:7" x14ac:dyDescent="0.3">
      <c r="A93" t="s">
        <v>11</v>
      </c>
      <c r="B93" t="s">
        <v>8</v>
      </c>
      <c r="C93" t="s">
        <v>25</v>
      </c>
      <c r="D93" t="s">
        <v>10</v>
      </c>
      <c r="E93">
        <v>2</v>
      </c>
      <c r="F93">
        <v>22.49</v>
      </c>
      <c r="G93">
        <v>3.5</v>
      </c>
    </row>
    <row r="94" spans="1:7" x14ac:dyDescent="0.3">
      <c r="A94" t="s">
        <v>7</v>
      </c>
      <c r="B94" t="s">
        <v>22</v>
      </c>
      <c r="C94" t="s">
        <v>25</v>
      </c>
      <c r="D94" t="s">
        <v>10</v>
      </c>
      <c r="E94">
        <v>2</v>
      </c>
      <c r="F94">
        <v>5.75</v>
      </c>
      <c r="G94">
        <v>1</v>
      </c>
    </row>
    <row r="95" spans="1:7" x14ac:dyDescent="0.3">
      <c r="A95" t="s">
        <v>7</v>
      </c>
      <c r="B95" t="s">
        <v>22</v>
      </c>
      <c r="C95" t="s">
        <v>25</v>
      </c>
      <c r="D95" t="s">
        <v>10</v>
      </c>
      <c r="E95">
        <v>2</v>
      </c>
      <c r="F95">
        <v>16.32</v>
      </c>
      <c r="G95">
        <v>4.3</v>
      </c>
    </row>
    <row r="96" spans="1:7" x14ac:dyDescent="0.3">
      <c r="A96" t="s">
        <v>7</v>
      </c>
      <c r="B96" t="s">
        <v>8</v>
      </c>
      <c r="C96" t="s">
        <v>25</v>
      </c>
      <c r="D96" t="s">
        <v>10</v>
      </c>
      <c r="E96">
        <v>2</v>
      </c>
      <c r="F96">
        <v>22.75</v>
      </c>
      <c r="G96">
        <v>3.25</v>
      </c>
    </row>
    <row r="97" spans="1:7" x14ac:dyDescent="0.3">
      <c r="A97" t="s">
        <v>11</v>
      </c>
      <c r="B97" t="s">
        <v>22</v>
      </c>
      <c r="C97" t="s">
        <v>25</v>
      </c>
      <c r="D97" t="s">
        <v>10</v>
      </c>
      <c r="E97">
        <v>4</v>
      </c>
      <c r="F97">
        <v>40.17</v>
      </c>
      <c r="G97">
        <v>4.7300000000000004</v>
      </c>
    </row>
    <row r="98" spans="1:7" x14ac:dyDescent="0.3">
      <c r="A98" t="s">
        <v>11</v>
      </c>
      <c r="B98" t="s">
        <v>22</v>
      </c>
      <c r="C98" t="s">
        <v>25</v>
      </c>
      <c r="D98" t="s">
        <v>10</v>
      </c>
      <c r="E98">
        <v>2</v>
      </c>
      <c r="F98">
        <v>27.28</v>
      </c>
      <c r="G98">
        <v>4</v>
      </c>
    </row>
    <row r="99" spans="1:7" x14ac:dyDescent="0.3">
      <c r="A99" t="s">
        <v>11</v>
      </c>
      <c r="B99" t="s">
        <v>22</v>
      </c>
      <c r="C99" t="s">
        <v>25</v>
      </c>
      <c r="D99" t="s">
        <v>10</v>
      </c>
      <c r="E99">
        <v>2</v>
      </c>
      <c r="F99">
        <v>12.03</v>
      </c>
      <c r="G99">
        <v>1.5</v>
      </c>
    </row>
    <row r="100" spans="1:7" x14ac:dyDescent="0.3">
      <c r="A100" t="s">
        <v>11</v>
      </c>
      <c r="B100" t="s">
        <v>22</v>
      </c>
      <c r="C100" t="s">
        <v>25</v>
      </c>
      <c r="D100" t="s">
        <v>10</v>
      </c>
      <c r="E100">
        <v>2</v>
      </c>
      <c r="F100">
        <v>21.01</v>
      </c>
      <c r="G100">
        <v>3</v>
      </c>
    </row>
    <row r="101" spans="1:7" x14ac:dyDescent="0.3">
      <c r="A101" t="s">
        <v>11</v>
      </c>
      <c r="B101" t="s">
        <v>8</v>
      </c>
      <c r="C101" t="s">
        <v>25</v>
      </c>
      <c r="D101" t="s">
        <v>10</v>
      </c>
      <c r="E101">
        <v>2</v>
      </c>
      <c r="F101">
        <v>12.46</v>
      </c>
      <c r="G101">
        <v>1.5</v>
      </c>
    </row>
    <row r="102" spans="1:7" x14ac:dyDescent="0.3">
      <c r="A102" t="s">
        <v>7</v>
      </c>
      <c r="B102" t="s">
        <v>22</v>
      </c>
      <c r="C102" t="s">
        <v>25</v>
      </c>
      <c r="D102" t="s">
        <v>10</v>
      </c>
      <c r="E102">
        <v>2</v>
      </c>
      <c r="F102">
        <v>11.35</v>
      </c>
      <c r="G102">
        <v>2.5</v>
      </c>
    </row>
    <row r="103" spans="1:7" x14ac:dyDescent="0.3">
      <c r="A103" t="s">
        <v>7</v>
      </c>
      <c r="B103" t="s">
        <v>22</v>
      </c>
      <c r="C103" t="s">
        <v>25</v>
      </c>
      <c r="D103" t="s">
        <v>10</v>
      </c>
      <c r="E103">
        <v>2</v>
      </c>
      <c r="F103">
        <v>15.38</v>
      </c>
      <c r="G103">
        <v>3</v>
      </c>
    </row>
    <row r="104" spans="1:7" x14ac:dyDescent="0.3">
      <c r="A104" t="s">
        <v>7</v>
      </c>
      <c r="B104" t="s">
        <v>22</v>
      </c>
      <c r="C104" t="s">
        <v>21</v>
      </c>
      <c r="D104" t="s">
        <v>10</v>
      </c>
      <c r="E104">
        <v>3</v>
      </c>
      <c r="F104">
        <v>44.3</v>
      </c>
      <c r="G104">
        <v>2.5</v>
      </c>
    </row>
    <row r="105" spans="1:7" x14ac:dyDescent="0.3">
      <c r="A105" t="s">
        <v>7</v>
      </c>
      <c r="B105" t="s">
        <v>22</v>
      </c>
      <c r="C105" t="s">
        <v>21</v>
      </c>
      <c r="D105" t="s">
        <v>10</v>
      </c>
      <c r="E105">
        <v>2</v>
      </c>
      <c r="F105">
        <v>22.42</v>
      </c>
      <c r="G105">
        <v>3.48</v>
      </c>
    </row>
    <row r="106" spans="1:7" x14ac:dyDescent="0.3">
      <c r="A106" t="s">
        <v>7</v>
      </c>
      <c r="B106" t="s">
        <v>8</v>
      </c>
      <c r="C106" t="s">
        <v>21</v>
      </c>
      <c r="D106" t="s">
        <v>10</v>
      </c>
      <c r="E106">
        <v>2</v>
      </c>
      <c r="F106">
        <v>20.92</v>
      </c>
      <c r="G106">
        <v>4.08</v>
      </c>
    </row>
    <row r="107" spans="1:7" x14ac:dyDescent="0.3">
      <c r="A107" t="s">
        <v>11</v>
      </c>
      <c r="B107" t="s">
        <v>22</v>
      </c>
      <c r="C107" t="s">
        <v>21</v>
      </c>
      <c r="D107" t="s">
        <v>10</v>
      </c>
      <c r="E107">
        <v>2</v>
      </c>
      <c r="F107">
        <v>15.36</v>
      </c>
      <c r="G107">
        <v>1.64</v>
      </c>
    </row>
    <row r="108" spans="1:7" x14ac:dyDescent="0.3">
      <c r="A108" t="s">
        <v>11</v>
      </c>
      <c r="B108" t="s">
        <v>22</v>
      </c>
      <c r="C108" t="s">
        <v>21</v>
      </c>
      <c r="D108" t="s">
        <v>10</v>
      </c>
      <c r="E108">
        <v>2</v>
      </c>
      <c r="F108">
        <v>20.49</v>
      </c>
      <c r="G108">
        <v>4.0599999999999996</v>
      </c>
    </row>
    <row r="109" spans="1:7" x14ac:dyDescent="0.3">
      <c r="A109" t="s">
        <v>11</v>
      </c>
      <c r="B109" t="s">
        <v>22</v>
      </c>
      <c r="C109" t="s">
        <v>21</v>
      </c>
      <c r="D109" t="s">
        <v>10</v>
      </c>
      <c r="E109">
        <v>2</v>
      </c>
      <c r="F109">
        <v>25.21</v>
      </c>
      <c r="G109">
        <v>4.29</v>
      </c>
    </row>
    <row r="110" spans="1:7" x14ac:dyDescent="0.3">
      <c r="A110" t="s">
        <v>11</v>
      </c>
      <c r="B110" t="s">
        <v>8</v>
      </c>
      <c r="C110" t="s">
        <v>21</v>
      </c>
      <c r="D110" t="s">
        <v>10</v>
      </c>
      <c r="E110">
        <v>2</v>
      </c>
      <c r="F110">
        <v>18.239999999999998</v>
      </c>
      <c r="G110">
        <v>3.76</v>
      </c>
    </row>
    <row r="111" spans="1:7" x14ac:dyDescent="0.3">
      <c r="A111" t="s">
        <v>7</v>
      </c>
      <c r="B111" t="s">
        <v>22</v>
      </c>
      <c r="C111" t="s">
        <v>21</v>
      </c>
      <c r="D111" t="s">
        <v>10</v>
      </c>
      <c r="E111">
        <v>2</v>
      </c>
      <c r="F111">
        <v>14.31</v>
      </c>
      <c r="G111">
        <v>4</v>
      </c>
    </row>
    <row r="112" spans="1:7" x14ac:dyDescent="0.3">
      <c r="A112" t="s">
        <v>11</v>
      </c>
      <c r="B112" t="s">
        <v>8</v>
      </c>
      <c r="C112" t="s">
        <v>21</v>
      </c>
      <c r="D112" t="s">
        <v>10</v>
      </c>
      <c r="E112">
        <v>2</v>
      </c>
      <c r="F112">
        <v>14</v>
      </c>
      <c r="G112">
        <v>3</v>
      </c>
    </row>
    <row r="113" spans="1:7" x14ac:dyDescent="0.3">
      <c r="A113" t="s">
        <v>7</v>
      </c>
      <c r="B113" t="s">
        <v>8</v>
      </c>
      <c r="C113" t="s">
        <v>21</v>
      </c>
      <c r="D113" t="s">
        <v>10</v>
      </c>
      <c r="E113">
        <v>1</v>
      </c>
      <c r="F113">
        <v>7.25</v>
      </c>
      <c r="G113">
        <v>1</v>
      </c>
    </row>
    <row r="114" spans="1:7" x14ac:dyDescent="0.3">
      <c r="A114" t="s">
        <v>11</v>
      </c>
      <c r="B114" t="s">
        <v>8</v>
      </c>
      <c r="C114" t="s">
        <v>9</v>
      </c>
      <c r="D114" t="s">
        <v>10</v>
      </c>
      <c r="E114">
        <v>3</v>
      </c>
      <c r="F114">
        <v>38.07</v>
      </c>
      <c r="G114">
        <v>4</v>
      </c>
    </row>
    <row r="115" spans="1:7" x14ac:dyDescent="0.3">
      <c r="A115" t="s">
        <v>11</v>
      </c>
      <c r="B115" t="s">
        <v>8</v>
      </c>
      <c r="C115" t="s">
        <v>9</v>
      </c>
      <c r="D115" t="s">
        <v>10</v>
      </c>
      <c r="E115">
        <v>2</v>
      </c>
      <c r="F115">
        <v>23.95</v>
      </c>
      <c r="G115">
        <v>2.5499999999999998</v>
      </c>
    </row>
    <row r="116" spans="1:7" x14ac:dyDescent="0.3">
      <c r="A116" t="s">
        <v>7</v>
      </c>
      <c r="B116" t="s">
        <v>8</v>
      </c>
      <c r="C116" t="s">
        <v>9</v>
      </c>
      <c r="D116" t="s">
        <v>10</v>
      </c>
      <c r="E116">
        <v>3</v>
      </c>
      <c r="F116">
        <v>25.71</v>
      </c>
      <c r="G116">
        <v>4</v>
      </c>
    </row>
    <row r="117" spans="1:7" x14ac:dyDescent="0.3">
      <c r="A117" t="s">
        <v>7</v>
      </c>
      <c r="B117" t="s">
        <v>8</v>
      </c>
      <c r="C117" t="s">
        <v>9</v>
      </c>
      <c r="D117" t="s">
        <v>10</v>
      </c>
      <c r="E117">
        <v>2</v>
      </c>
      <c r="F117">
        <v>17.309999999999999</v>
      </c>
      <c r="G117">
        <v>3.5</v>
      </c>
    </row>
    <row r="118" spans="1:7" x14ac:dyDescent="0.3">
      <c r="A118" t="s">
        <v>11</v>
      </c>
      <c r="B118" t="s">
        <v>8</v>
      </c>
      <c r="C118" t="s">
        <v>9</v>
      </c>
      <c r="D118" t="s">
        <v>10</v>
      </c>
      <c r="E118">
        <v>4</v>
      </c>
      <c r="F118">
        <v>29.93</v>
      </c>
      <c r="G118">
        <v>5.07</v>
      </c>
    </row>
    <row r="119" spans="1:7" x14ac:dyDescent="0.3">
      <c r="A119" t="s">
        <v>7</v>
      </c>
      <c r="B119" t="s">
        <v>8</v>
      </c>
      <c r="C119" t="s">
        <v>23</v>
      </c>
      <c r="D119" t="s">
        <v>24</v>
      </c>
      <c r="E119">
        <v>2</v>
      </c>
      <c r="F119">
        <v>10.65</v>
      </c>
      <c r="G119">
        <v>1.5</v>
      </c>
    </row>
    <row r="120" spans="1:7" x14ac:dyDescent="0.3">
      <c r="A120" t="s">
        <v>7</v>
      </c>
      <c r="B120" t="s">
        <v>8</v>
      </c>
      <c r="C120" t="s">
        <v>23</v>
      </c>
      <c r="D120" t="s">
        <v>24</v>
      </c>
      <c r="E120">
        <v>2</v>
      </c>
      <c r="F120">
        <v>12.43</v>
      </c>
      <c r="G120">
        <v>1.8</v>
      </c>
    </row>
    <row r="121" spans="1:7" x14ac:dyDescent="0.3">
      <c r="A121" t="s">
        <v>7</v>
      </c>
      <c r="B121" t="s">
        <v>8</v>
      </c>
      <c r="C121" t="s">
        <v>23</v>
      </c>
      <c r="D121" t="s">
        <v>24</v>
      </c>
      <c r="E121">
        <v>4</v>
      </c>
      <c r="F121">
        <v>24.08</v>
      </c>
      <c r="G121">
        <v>2.92</v>
      </c>
    </row>
    <row r="122" spans="1:7" x14ac:dyDescent="0.3">
      <c r="A122" t="s">
        <v>11</v>
      </c>
      <c r="B122" t="s">
        <v>8</v>
      </c>
      <c r="C122" t="s">
        <v>23</v>
      </c>
      <c r="D122" t="s">
        <v>24</v>
      </c>
      <c r="E122">
        <v>2</v>
      </c>
      <c r="F122">
        <v>11.69</v>
      </c>
      <c r="G122">
        <v>2.31</v>
      </c>
    </row>
    <row r="123" spans="1:7" x14ac:dyDescent="0.3">
      <c r="A123" t="s">
        <v>7</v>
      </c>
      <c r="B123" t="s">
        <v>8</v>
      </c>
      <c r="C123" t="s">
        <v>23</v>
      </c>
      <c r="D123" t="s">
        <v>24</v>
      </c>
      <c r="E123">
        <v>2</v>
      </c>
      <c r="F123">
        <v>13.42</v>
      </c>
      <c r="G123">
        <v>1.68</v>
      </c>
    </row>
    <row r="124" spans="1:7" x14ac:dyDescent="0.3">
      <c r="A124" t="s">
        <v>11</v>
      </c>
      <c r="B124" t="s">
        <v>8</v>
      </c>
      <c r="C124" t="s">
        <v>23</v>
      </c>
      <c r="D124" t="s">
        <v>24</v>
      </c>
      <c r="E124">
        <v>2</v>
      </c>
      <c r="F124">
        <v>14.26</v>
      </c>
      <c r="G124">
        <v>2.5</v>
      </c>
    </row>
    <row r="125" spans="1:7" x14ac:dyDescent="0.3">
      <c r="A125" t="s">
        <v>11</v>
      </c>
      <c r="B125" t="s">
        <v>8</v>
      </c>
      <c r="C125" t="s">
        <v>23</v>
      </c>
      <c r="D125" t="s">
        <v>24</v>
      </c>
      <c r="E125">
        <v>2</v>
      </c>
      <c r="F125">
        <v>15.95</v>
      </c>
      <c r="G125">
        <v>2</v>
      </c>
    </row>
    <row r="126" spans="1:7" x14ac:dyDescent="0.3">
      <c r="A126" t="s">
        <v>7</v>
      </c>
      <c r="B126" t="s">
        <v>8</v>
      </c>
      <c r="C126" t="s">
        <v>23</v>
      </c>
      <c r="D126" t="s">
        <v>24</v>
      </c>
      <c r="E126">
        <v>2</v>
      </c>
      <c r="F126">
        <v>12.48</v>
      </c>
      <c r="G126">
        <v>2.52</v>
      </c>
    </row>
    <row r="127" spans="1:7" x14ac:dyDescent="0.3">
      <c r="A127" t="s">
        <v>7</v>
      </c>
      <c r="B127" t="s">
        <v>8</v>
      </c>
      <c r="C127" t="s">
        <v>23</v>
      </c>
      <c r="D127" t="s">
        <v>24</v>
      </c>
      <c r="E127">
        <v>6</v>
      </c>
      <c r="F127">
        <v>29.8</v>
      </c>
      <c r="G127">
        <v>4.2</v>
      </c>
    </row>
    <row r="128" spans="1:7" x14ac:dyDescent="0.3">
      <c r="A128" t="s">
        <v>11</v>
      </c>
      <c r="B128" t="s">
        <v>8</v>
      </c>
      <c r="C128" t="s">
        <v>23</v>
      </c>
      <c r="D128" t="s">
        <v>24</v>
      </c>
      <c r="E128">
        <v>2</v>
      </c>
      <c r="F128">
        <v>8.52</v>
      </c>
      <c r="G128">
        <v>1.48</v>
      </c>
    </row>
    <row r="129" spans="1:7" x14ac:dyDescent="0.3">
      <c r="A129" t="s">
        <v>7</v>
      </c>
      <c r="B129" t="s">
        <v>8</v>
      </c>
      <c r="C129" t="s">
        <v>23</v>
      </c>
      <c r="D129" t="s">
        <v>24</v>
      </c>
      <c r="E129">
        <v>2</v>
      </c>
      <c r="F129">
        <v>14.52</v>
      </c>
      <c r="G129">
        <v>2</v>
      </c>
    </row>
    <row r="130" spans="1:7" x14ac:dyDescent="0.3">
      <c r="A130" t="s">
        <v>7</v>
      </c>
      <c r="B130" t="s">
        <v>8</v>
      </c>
      <c r="C130" t="s">
        <v>23</v>
      </c>
      <c r="D130" t="s">
        <v>24</v>
      </c>
      <c r="E130">
        <v>2</v>
      </c>
      <c r="F130">
        <v>11.38</v>
      </c>
      <c r="G130">
        <v>2</v>
      </c>
    </row>
    <row r="131" spans="1:7" x14ac:dyDescent="0.3">
      <c r="A131" t="s">
        <v>11</v>
      </c>
      <c r="B131" t="s">
        <v>8</v>
      </c>
      <c r="C131" t="s">
        <v>23</v>
      </c>
      <c r="D131" t="s">
        <v>24</v>
      </c>
      <c r="E131">
        <v>3</v>
      </c>
      <c r="F131">
        <v>22.82</v>
      </c>
      <c r="G131">
        <v>2.1800000000000002</v>
      </c>
    </row>
    <row r="132" spans="1:7" x14ac:dyDescent="0.3">
      <c r="A132" t="s">
        <v>11</v>
      </c>
      <c r="B132" t="s">
        <v>8</v>
      </c>
      <c r="C132" t="s">
        <v>23</v>
      </c>
      <c r="D132" t="s">
        <v>24</v>
      </c>
      <c r="E132">
        <v>2</v>
      </c>
      <c r="F132">
        <v>19.079999999999998</v>
      </c>
      <c r="G132">
        <v>1.5</v>
      </c>
    </row>
    <row r="133" spans="1:7" x14ac:dyDescent="0.3">
      <c r="A133" t="s">
        <v>7</v>
      </c>
      <c r="B133" t="s">
        <v>8</v>
      </c>
      <c r="C133" t="s">
        <v>23</v>
      </c>
      <c r="D133" t="s">
        <v>24</v>
      </c>
      <c r="E133">
        <v>2</v>
      </c>
      <c r="F133">
        <v>20.27</v>
      </c>
      <c r="G133">
        <v>2.83</v>
      </c>
    </row>
    <row r="134" spans="1:7" x14ac:dyDescent="0.3">
      <c r="A134" t="s">
        <v>7</v>
      </c>
      <c r="B134" t="s">
        <v>8</v>
      </c>
      <c r="C134" t="s">
        <v>23</v>
      </c>
      <c r="D134" t="s">
        <v>24</v>
      </c>
      <c r="E134">
        <v>2</v>
      </c>
      <c r="F134">
        <v>11.17</v>
      </c>
      <c r="G134">
        <v>1.5</v>
      </c>
    </row>
    <row r="135" spans="1:7" x14ac:dyDescent="0.3">
      <c r="A135" t="s">
        <v>7</v>
      </c>
      <c r="B135" t="s">
        <v>8</v>
      </c>
      <c r="C135" t="s">
        <v>23</v>
      </c>
      <c r="D135" t="s">
        <v>24</v>
      </c>
      <c r="E135">
        <v>2</v>
      </c>
      <c r="F135">
        <v>12.26</v>
      </c>
      <c r="G135">
        <v>2</v>
      </c>
    </row>
    <row r="136" spans="1:7" x14ac:dyDescent="0.3">
      <c r="A136" t="s">
        <v>7</v>
      </c>
      <c r="B136" t="s">
        <v>8</v>
      </c>
      <c r="C136" t="s">
        <v>23</v>
      </c>
      <c r="D136" t="s">
        <v>24</v>
      </c>
      <c r="E136">
        <v>2</v>
      </c>
      <c r="F136">
        <v>18.260000000000002</v>
      </c>
      <c r="G136">
        <v>3.25</v>
      </c>
    </row>
    <row r="137" spans="1:7" x14ac:dyDescent="0.3">
      <c r="A137" t="s">
        <v>7</v>
      </c>
      <c r="B137" t="s">
        <v>8</v>
      </c>
      <c r="C137" t="s">
        <v>23</v>
      </c>
      <c r="D137" t="s">
        <v>24</v>
      </c>
      <c r="E137">
        <v>2</v>
      </c>
      <c r="F137">
        <v>8.51</v>
      </c>
      <c r="G137">
        <v>1.25</v>
      </c>
    </row>
    <row r="138" spans="1:7" x14ac:dyDescent="0.3">
      <c r="A138" t="s">
        <v>7</v>
      </c>
      <c r="B138" t="s">
        <v>8</v>
      </c>
      <c r="C138" t="s">
        <v>23</v>
      </c>
      <c r="D138" t="s">
        <v>24</v>
      </c>
      <c r="E138">
        <v>2</v>
      </c>
      <c r="F138">
        <v>10.33</v>
      </c>
      <c r="G138">
        <v>2</v>
      </c>
    </row>
    <row r="139" spans="1:7" x14ac:dyDescent="0.3">
      <c r="A139" t="s">
        <v>7</v>
      </c>
      <c r="B139" t="s">
        <v>8</v>
      </c>
      <c r="C139" t="s">
        <v>23</v>
      </c>
      <c r="D139" t="s">
        <v>24</v>
      </c>
      <c r="E139">
        <v>2</v>
      </c>
      <c r="F139">
        <v>14.15</v>
      </c>
      <c r="G139">
        <v>2</v>
      </c>
    </row>
    <row r="140" spans="1:7" x14ac:dyDescent="0.3">
      <c r="A140" t="s">
        <v>11</v>
      </c>
      <c r="B140" t="s">
        <v>22</v>
      </c>
      <c r="C140" t="s">
        <v>23</v>
      </c>
      <c r="D140" t="s">
        <v>24</v>
      </c>
      <c r="E140">
        <v>2</v>
      </c>
      <c r="F140">
        <v>16</v>
      </c>
      <c r="G140">
        <v>2</v>
      </c>
    </row>
    <row r="141" spans="1:7" x14ac:dyDescent="0.3">
      <c r="A141" t="s">
        <v>7</v>
      </c>
      <c r="B141" t="s">
        <v>8</v>
      </c>
      <c r="C141" t="s">
        <v>23</v>
      </c>
      <c r="D141" t="s">
        <v>24</v>
      </c>
      <c r="E141">
        <v>2</v>
      </c>
      <c r="F141">
        <v>13.16</v>
      </c>
      <c r="G141">
        <v>2.75</v>
      </c>
    </row>
    <row r="142" spans="1:7" x14ac:dyDescent="0.3">
      <c r="A142" t="s">
        <v>7</v>
      </c>
      <c r="B142" t="s">
        <v>8</v>
      </c>
      <c r="C142" t="s">
        <v>23</v>
      </c>
      <c r="D142" t="s">
        <v>24</v>
      </c>
      <c r="E142">
        <v>2</v>
      </c>
      <c r="F142">
        <v>17.47</v>
      </c>
      <c r="G142">
        <v>3.5</v>
      </c>
    </row>
    <row r="143" spans="1:7" x14ac:dyDescent="0.3">
      <c r="A143" t="s">
        <v>11</v>
      </c>
      <c r="B143" t="s">
        <v>8</v>
      </c>
      <c r="C143" t="s">
        <v>23</v>
      </c>
      <c r="D143" t="s">
        <v>24</v>
      </c>
      <c r="E143">
        <v>6</v>
      </c>
      <c r="F143">
        <v>34.299999999999997</v>
      </c>
      <c r="G143">
        <v>6.7</v>
      </c>
    </row>
    <row r="144" spans="1:7" x14ac:dyDescent="0.3">
      <c r="A144" t="s">
        <v>11</v>
      </c>
      <c r="B144" t="s">
        <v>8</v>
      </c>
      <c r="C144" t="s">
        <v>23</v>
      </c>
      <c r="D144" t="s">
        <v>24</v>
      </c>
      <c r="E144">
        <v>5</v>
      </c>
      <c r="F144">
        <v>41.19</v>
      </c>
      <c r="G144">
        <v>5</v>
      </c>
    </row>
    <row r="145" spans="1:7" x14ac:dyDescent="0.3">
      <c r="A145" t="s">
        <v>7</v>
      </c>
      <c r="B145" t="s">
        <v>8</v>
      </c>
      <c r="C145" t="s">
        <v>23</v>
      </c>
      <c r="D145" t="s">
        <v>24</v>
      </c>
      <c r="E145">
        <v>6</v>
      </c>
      <c r="F145">
        <v>27.05</v>
      </c>
      <c r="G145">
        <v>5</v>
      </c>
    </row>
    <row r="146" spans="1:7" x14ac:dyDescent="0.3">
      <c r="A146" t="s">
        <v>7</v>
      </c>
      <c r="B146" t="s">
        <v>8</v>
      </c>
      <c r="C146" t="s">
        <v>23</v>
      </c>
      <c r="D146" t="s">
        <v>24</v>
      </c>
      <c r="E146">
        <v>2</v>
      </c>
      <c r="F146">
        <v>16.43</v>
      </c>
      <c r="G146">
        <v>2.2999999999999998</v>
      </c>
    </row>
    <row r="147" spans="1:7" x14ac:dyDescent="0.3">
      <c r="A147" t="s">
        <v>7</v>
      </c>
      <c r="B147" t="s">
        <v>8</v>
      </c>
      <c r="C147" t="s">
        <v>23</v>
      </c>
      <c r="D147" t="s">
        <v>24</v>
      </c>
      <c r="E147">
        <v>2</v>
      </c>
      <c r="F147">
        <v>8.35</v>
      </c>
      <c r="G147">
        <v>1.5</v>
      </c>
    </row>
    <row r="148" spans="1:7" x14ac:dyDescent="0.3">
      <c r="A148" t="s">
        <v>7</v>
      </c>
      <c r="B148" t="s">
        <v>8</v>
      </c>
      <c r="C148" t="s">
        <v>23</v>
      </c>
      <c r="D148" t="s">
        <v>24</v>
      </c>
      <c r="E148">
        <v>3</v>
      </c>
      <c r="F148">
        <v>18.64</v>
      </c>
      <c r="G148">
        <v>1.36</v>
      </c>
    </row>
    <row r="149" spans="1:7" x14ac:dyDescent="0.3">
      <c r="A149" t="s">
        <v>7</v>
      </c>
      <c r="B149" t="s">
        <v>8</v>
      </c>
      <c r="C149" t="s">
        <v>23</v>
      </c>
      <c r="D149" t="s">
        <v>24</v>
      </c>
      <c r="E149">
        <v>2</v>
      </c>
      <c r="F149">
        <v>11.87</v>
      </c>
      <c r="G149">
        <v>1.63</v>
      </c>
    </row>
    <row r="150" spans="1:7" x14ac:dyDescent="0.3">
      <c r="A150" t="s">
        <v>11</v>
      </c>
      <c r="B150" t="s">
        <v>8</v>
      </c>
      <c r="C150" t="s">
        <v>23</v>
      </c>
      <c r="D150" t="s">
        <v>24</v>
      </c>
      <c r="E150">
        <v>2</v>
      </c>
      <c r="F150">
        <v>9.7799999999999994</v>
      </c>
      <c r="G150">
        <v>1.73</v>
      </c>
    </row>
    <row r="151" spans="1:7" x14ac:dyDescent="0.3">
      <c r="A151" t="s">
        <v>11</v>
      </c>
      <c r="B151" t="s">
        <v>8</v>
      </c>
      <c r="C151" t="s">
        <v>23</v>
      </c>
      <c r="D151" t="s">
        <v>24</v>
      </c>
      <c r="E151">
        <v>2</v>
      </c>
      <c r="F151">
        <v>7.51</v>
      </c>
      <c r="G151">
        <v>2</v>
      </c>
    </row>
    <row r="152" spans="1:7" x14ac:dyDescent="0.3">
      <c r="A152" t="s">
        <v>11</v>
      </c>
      <c r="B152" t="s">
        <v>8</v>
      </c>
      <c r="C152" t="s">
        <v>9</v>
      </c>
      <c r="D152" t="s">
        <v>10</v>
      </c>
      <c r="E152">
        <v>2</v>
      </c>
      <c r="F152">
        <v>14.07</v>
      </c>
      <c r="G152">
        <v>2.5</v>
      </c>
    </row>
    <row r="153" spans="1:7" x14ac:dyDescent="0.3">
      <c r="A153" t="s">
        <v>11</v>
      </c>
      <c r="B153" t="s">
        <v>8</v>
      </c>
      <c r="C153" t="s">
        <v>9</v>
      </c>
      <c r="D153" t="s">
        <v>10</v>
      </c>
      <c r="E153">
        <v>2</v>
      </c>
      <c r="F153">
        <v>13.13</v>
      </c>
      <c r="G153">
        <v>2</v>
      </c>
    </row>
    <row r="154" spans="1:7" x14ac:dyDescent="0.3">
      <c r="A154" t="s">
        <v>11</v>
      </c>
      <c r="B154" t="s">
        <v>8</v>
      </c>
      <c r="C154" t="s">
        <v>9</v>
      </c>
      <c r="D154" t="s">
        <v>10</v>
      </c>
      <c r="E154">
        <v>3</v>
      </c>
      <c r="F154">
        <v>17.260000000000002</v>
      </c>
      <c r="G154">
        <v>2.74</v>
      </c>
    </row>
    <row r="155" spans="1:7" x14ac:dyDescent="0.3">
      <c r="A155" t="s">
        <v>11</v>
      </c>
      <c r="B155" t="s">
        <v>8</v>
      </c>
      <c r="C155" t="s">
        <v>9</v>
      </c>
      <c r="D155" t="s">
        <v>10</v>
      </c>
      <c r="E155">
        <v>4</v>
      </c>
      <c r="F155">
        <v>24.55</v>
      </c>
      <c r="G155">
        <v>2</v>
      </c>
    </row>
    <row r="156" spans="1:7" x14ac:dyDescent="0.3">
      <c r="A156" t="s">
        <v>11</v>
      </c>
      <c r="B156" t="s">
        <v>8</v>
      </c>
      <c r="C156" t="s">
        <v>9</v>
      </c>
      <c r="D156" t="s">
        <v>10</v>
      </c>
      <c r="E156">
        <v>4</v>
      </c>
      <c r="F156">
        <v>19.77</v>
      </c>
      <c r="G156">
        <v>2</v>
      </c>
    </row>
    <row r="157" spans="1:7" x14ac:dyDescent="0.3">
      <c r="A157" t="s">
        <v>7</v>
      </c>
      <c r="B157" t="s">
        <v>8</v>
      </c>
      <c r="C157" t="s">
        <v>9</v>
      </c>
      <c r="D157" t="s">
        <v>10</v>
      </c>
      <c r="E157">
        <v>5</v>
      </c>
      <c r="F157">
        <v>29.85</v>
      </c>
      <c r="G157">
        <v>5.14</v>
      </c>
    </row>
    <row r="158" spans="1:7" x14ac:dyDescent="0.3">
      <c r="A158" t="s">
        <v>11</v>
      </c>
      <c r="B158" t="s">
        <v>8</v>
      </c>
      <c r="C158" t="s">
        <v>9</v>
      </c>
      <c r="D158" t="s">
        <v>10</v>
      </c>
      <c r="E158">
        <v>6</v>
      </c>
      <c r="F158">
        <v>48.17</v>
      </c>
      <c r="G158">
        <v>5</v>
      </c>
    </row>
    <row r="159" spans="1:7" x14ac:dyDescent="0.3">
      <c r="A159" t="s">
        <v>7</v>
      </c>
      <c r="B159" t="s">
        <v>8</v>
      </c>
      <c r="C159" t="s">
        <v>9</v>
      </c>
      <c r="D159" t="s">
        <v>10</v>
      </c>
      <c r="E159">
        <v>4</v>
      </c>
      <c r="F159">
        <v>25</v>
      </c>
      <c r="G159">
        <v>3.75</v>
      </c>
    </row>
    <row r="160" spans="1:7" x14ac:dyDescent="0.3">
      <c r="A160" t="s">
        <v>7</v>
      </c>
      <c r="B160" t="s">
        <v>8</v>
      </c>
      <c r="C160" t="s">
        <v>9</v>
      </c>
      <c r="D160" t="s">
        <v>10</v>
      </c>
      <c r="E160">
        <v>2</v>
      </c>
      <c r="F160">
        <v>13.39</v>
      </c>
      <c r="G160">
        <v>2.61</v>
      </c>
    </row>
    <row r="161" spans="1:7" x14ac:dyDescent="0.3">
      <c r="A161" t="s">
        <v>11</v>
      </c>
      <c r="B161" t="s">
        <v>8</v>
      </c>
      <c r="C161" t="s">
        <v>9</v>
      </c>
      <c r="D161" t="s">
        <v>10</v>
      </c>
      <c r="E161">
        <v>4</v>
      </c>
      <c r="F161">
        <v>16.489999999999998</v>
      </c>
      <c r="G161">
        <v>2</v>
      </c>
    </row>
    <row r="162" spans="1:7" x14ac:dyDescent="0.3">
      <c r="A162" t="s">
        <v>11</v>
      </c>
      <c r="B162" t="s">
        <v>8</v>
      </c>
      <c r="C162" t="s">
        <v>9</v>
      </c>
      <c r="D162" t="s">
        <v>10</v>
      </c>
      <c r="E162">
        <v>4</v>
      </c>
      <c r="F162">
        <v>21.5</v>
      </c>
      <c r="G162">
        <v>3.5</v>
      </c>
    </row>
    <row r="163" spans="1:7" x14ac:dyDescent="0.3">
      <c r="A163" t="s">
        <v>11</v>
      </c>
      <c r="B163" t="s">
        <v>8</v>
      </c>
      <c r="C163" t="s">
        <v>9</v>
      </c>
      <c r="D163" t="s">
        <v>10</v>
      </c>
      <c r="E163">
        <v>2</v>
      </c>
      <c r="F163">
        <v>12.66</v>
      </c>
      <c r="G163">
        <v>2.5</v>
      </c>
    </row>
    <row r="164" spans="1:7" x14ac:dyDescent="0.3">
      <c r="A164" t="s">
        <v>7</v>
      </c>
      <c r="B164" t="s">
        <v>8</v>
      </c>
      <c r="C164" t="s">
        <v>9</v>
      </c>
      <c r="D164" t="s">
        <v>10</v>
      </c>
      <c r="E164">
        <v>3</v>
      </c>
      <c r="F164">
        <v>16.21</v>
      </c>
      <c r="G164">
        <v>2</v>
      </c>
    </row>
    <row r="165" spans="1:7" x14ac:dyDescent="0.3">
      <c r="A165" t="s">
        <v>11</v>
      </c>
      <c r="B165" t="s">
        <v>8</v>
      </c>
      <c r="C165" t="s">
        <v>9</v>
      </c>
      <c r="D165" t="s">
        <v>10</v>
      </c>
      <c r="E165">
        <v>2</v>
      </c>
      <c r="F165">
        <v>13.81</v>
      </c>
      <c r="G165">
        <v>2</v>
      </c>
    </row>
    <row r="166" spans="1:7" x14ac:dyDescent="0.3">
      <c r="A166" t="s">
        <v>7</v>
      </c>
      <c r="B166" t="s">
        <v>22</v>
      </c>
      <c r="C166" t="s">
        <v>9</v>
      </c>
      <c r="D166" t="s">
        <v>10</v>
      </c>
      <c r="E166">
        <v>2</v>
      </c>
      <c r="F166">
        <v>17.510000000000002</v>
      </c>
      <c r="G166">
        <v>3</v>
      </c>
    </row>
    <row r="167" spans="1:7" x14ac:dyDescent="0.3">
      <c r="A167" t="s">
        <v>11</v>
      </c>
      <c r="B167" t="s">
        <v>8</v>
      </c>
      <c r="C167" t="s">
        <v>9</v>
      </c>
      <c r="D167" t="s">
        <v>10</v>
      </c>
      <c r="E167">
        <v>3</v>
      </c>
      <c r="F167">
        <v>24.52</v>
      </c>
      <c r="G167">
        <v>3.48</v>
      </c>
    </row>
    <row r="168" spans="1:7" x14ac:dyDescent="0.3">
      <c r="A168" t="s">
        <v>11</v>
      </c>
      <c r="B168" t="s">
        <v>8</v>
      </c>
      <c r="C168" t="s">
        <v>9</v>
      </c>
      <c r="D168" t="s">
        <v>10</v>
      </c>
      <c r="E168">
        <v>2</v>
      </c>
      <c r="F168">
        <v>20.76</v>
      </c>
      <c r="G168">
        <v>2.2400000000000002</v>
      </c>
    </row>
    <row r="169" spans="1:7" x14ac:dyDescent="0.3">
      <c r="A169" t="s">
        <v>11</v>
      </c>
      <c r="B169" t="s">
        <v>8</v>
      </c>
      <c r="C169" t="s">
        <v>9</v>
      </c>
      <c r="D169" t="s">
        <v>10</v>
      </c>
      <c r="E169">
        <v>4</v>
      </c>
      <c r="F169">
        <v>31.71</v>
      </c>
      <c r="G169">
        <v>4.5</v>
      </c>
    </row>
    <row r="170" spans="1:7" x14ac:dyDescent="0.3">
      <c r="A170" t="s">
        <v>7</v>
      </c>
      <c r="B170" t="s">
        <v>22</v>
      </c>
      <c r="C170" t="s">
        <v>21</v>
      </c>
      <c r="D170" t="s">
        <v>10</v>
      </c>
      <c r="E170">
        <v>2</v>
      </c>
      <c r="F170">
        <v>10.59</v>
      </c>
      <c r="G170">
        <v>1.61</v>
      </c>
    </row>
    <row r="171" spans="1:7" x14ac:dyDescent="0.3">
      <c r="A171" t="s">
        <v>7</v>
      </c>
      <c r="B171" t="s">
        <v>22</v>
      </c>
      <c r="C171" t="s">
        <v>21</v>
      </c>
      <c r="D171" t="s">
        <v>10</v>
      </c>
      <c r="E171">
        <v>2</v>
      </c>
      <c r="F171">
        <v>10.63</v>
      </c>
      <c r="G171">
        <v>2</v>
      </c>
    </row>
    <row r="172" spans="1:7" x14ac:dyDescent="0.3">
      <c r="A172" t="s">
        <v>11</v>
      </c>
      <c r="B172" t="s">
        <v>22</v>
      </c>
      <c r="C172" t="s">
        <v>21</v>
      </c>
      <c r="D172" t="s">
        <v>10</v>
      </c>
      <c r="E172">
        <v>3</v>
      </c>
      <c r="F172">
        <v>50.81</v>
      </c>
      <c r="G172">
        <v>10</v>
      </c>
    </row>
    <row r="173" spans="1:7" x14ac:dyDescent="0.3">
      <c r="A173" t="s">
        <v>11</v>
      </c>
      <c r="B173" t="s">
        <v>22</v>
      </c>
      <c r="C173" t="s">
        <v>21</v>
      </c>
      <c r="D173" t="s">
        <v>10</v>
      </c>
      <c r="E173">
        <v>2</v>
      </c>
      <c r="F173">
        <v>15.81</v>
      </c>
      <c r="G173">
        <v>3.16</v>
      </c>
    </row>
    <row r="174" spans="1:7" x14ac:dyDescent="0.3">
      <c r="A174" t="s">
        <v>11</v>
      </c>
      <c r="B174" t="s">
        <v>22</v>
      </c>
      <c r="C174" t="s">
        <v>9</v>
      </c>
      <c r="D174" t="s">
        <v>10</v>
      </c>
      <c r="E174">
        <v>2</v>
      </c>
      <c r="F174">
        <v>7.25</v>
      </c>
      <c r="G174">
        <v>5.15</v>
      </c>
    </row>
    <row r="175" spans="1:7" x14ac:dyDescent="0.3">
      <c r="A175" t="s">
        <v>11</v>
      </c>
      <c r="B175" t="s">
        <v>22</v>
      </c>
      <c r="C175" t="s">
        <v>9</v>
      </c>
      <c r="D175" t="s">
        <v>10</v>
      </c>
      <c r="E175">
        <v>2</v>
      </c>
      <c r="F175">
        <v>31.85</v>
      </c>
      <c r="G175">
        <v>3.18</v>
      </c>
    </row>
    <row r="176" spans="1:7" x14ac:dyDescent="0.3">
      <c r="A176" t="s">
        <v>11</v>
      </c>
      <c r="B176" t="s">
        <v>22</v>
      </c>
      <c r="C176" t="s">
        <v>9</v>
      </c>
      <c r="D176" t="s">
        <v>10</v>
      </c>
      <c r="E176">
        <v>2</v>
      </c>
      <c r="F176">
        <v>16.82</v>
      </c>
      <c r="G176">
        <v>4</v>
      </c>
    </row>
    <row r="177" spans="1:7" x14ac:dyDescent="0.3">
      <c r="A177" t="s">
        <v>11</v>
      </c>
      <c r="B177" t="s">
        <v>22</v>
      </c>
      <c r="C177" t="s">
        <v>9</v>
      </c>
      <c r="D177" t="s">
        <v>10</v>
      </c>
      <c r="E177">
        <v>2</v>
      </c>
      <c r="F177">
        <v>32.9</v>
      </c>
      <c r="G177">
        <v>3.11</v>
      </c>
    </row>
    <row r="178" spans="1:7" x14ac:dyDescent="0.3">
      <c r="A178" t="s">
        <v>11</v>
      </c>
      <c r="B178" t="s">
        <v>22</v>
      </c>
      <c r="C178" t="s">
        <v>9</v>
      </c>
      <c r="D178" t="s">
        <v>10</v>
      </c>
      <c r="E178">
        <v>2</v>
      </c>
      <c r="F178">
        <v>17.89</v>
      </c>
      <c r="G178">
        <v>2</v>
      </c>
    </row>
    <row r="179" spans="1:7" x14ac:dyDescent="0.3">
      <c r="A179" t="s">
        <v>11</v>
      </c>
      <c r="B179" t="s">
        <v>22</v>
      </c>
      <c r="C179" t="s">
        <v>9</v>
      </c>
      <c r="D179" t="s">
        <v>10</v>
      </c>
      <c r="E179">
        <v>2</v>
      </c>
      <c r="F179">
        <v>14.48</v>
      </c>
      <c r="G179">
        <v>2</v>
      </c>
    </row>
    <row r="180" spans="1:7" x14ac:dyDescent="0.3">
      <c r="A180" t="s">
        <v>7</v>
      </c>
      <c r="B180" t="s">
        <v>22</v>
      </c>
      <c r="C180" t="s">
        <v>9</v>
      </c>
      <c r="D180" t="s">
        <v>10</v>
      </c>
      <c r="E180">
        <v>2</v>
      </c>
      <c r="F180">
        <v>9.6</v>
      </c>
      <c r="G180">
        <v>4</v>
      </c>
    </row>
    <row r="181" spans="1:7" x14ac:dyDescent="0.3">
      <c r="A181" t="s">
        <v>11</v>
      </c>
      <c r="B181" t="s">
        <v>22</v>
      </c>
      <c r="C181" t="s">
        <v>9</v>
      </c>
      <c r="D181" t="s">
        <v>10</v>
      </c>
      <c r="E181">
        <v>2</v>
      </c>
      <c r="F181">
        <v>34.630000000000003</v>
      </c>
      <c r="G181">
        <v>3.55</v>
      </c>
    </row>
    <row r="182" spans="1:7" x14ac:dyDescent="0.3">
      <c r="A182" t="s">
        <v>11</v>
      </c>
      <c r="B182" t="s">
        <v>22</v>
      </c>
      <c r="C182" t="s">
        <v>9</v>
      </c>
      <c r="D182" t="s">
        <v>10</v>
      </c>
      <c r="E182">
        <v>4</v>
      </c>
      <c r="F182">
        <v>34.65</v>
      </c>
      <c r="G182">
        <v>3.68</v>
      </c>
    </row>
    <row r="183" spans="1:7" x14ac:dyDescent="0.3">
      <c r="A183" t="s">
        <v>11</v>
      </c>
      <c r="B183" t="s">
        <v>22</v>
      </c>
      <c r="C183" t="s">
        <v>9</v>
      </c>
      <c r="D183" t="s">
        <v>10</v>
      </c>
      <c r="E183">
        <v>2</v>
      </c>
      <c r="F183">
        <v>23.33</v>
      </c>
      <c r="G183">
        <v>5.65</v>
      </c>
    </row>
    <row r="184" spans="1:7" x14ac:dyDescent="0.3">
      <c r="A184" t="s">
        <v>11</v>
      </c>
      <c r="B184" t="s">
        <v>22</v>
      </c>
      <c r="C184" t="s">
        <v>9</v>
      </c>
      <c r="D184" t="s">
        <v>10</v>
      </c>
      <c r="E184">
        <v>3</v>
      </c>
      <c r="F184">
        <v>45.35</v>
      </c>
      <c r="G184">
        <v>3.5</v>
      </c>
    </row>
    <row r="185" spans="1:7" x14ac:dyDescent="0.3">
      <c r="A185" t="s">
        <v>11</v>
      </c>
      <c r="B185" t="s">
        <v>22</v>
      </c>
      <c r="C185" t="s">
        <v>9</v>
      </c>
      <c r="D185" t="s">
        <v>10</v>
      </c>
      <c r="E185">
        <v>4</v>
      </c>
      <c r="F185">
        <v>23.17</v>
      </c>
      <c r="G185">
        <v>6.5</v>
      </c>
    </row>
    <row r="186" spans="1:7" x14ac:dyDescent="0.3">
      <c r="A186" t="s">
        <v>11</v>
      </c>
      <c r="B186" t="s">
        <v>22</v>
      </c>
      <c r="C186" t="s">
        <v>9</v>
      </c>
      <c r="D186" t="s">
        <v>10</v>
      </c>
      <c r="E186">
        <v>2</v>
      </c>
      <c r="F186">
        <v>40.549999999999997</v>
      </c>
      <c r="G186">
        <v>3</v>
      </c>
    </row>
    <row r="187" spans="1:7" x14ac:dyDescent="0.3">
      <c r="A187" t="s">
        <v>11</v>
      </c>
      <c r="B187" t="s">
        <v>8</v>
      </c>
      <c r="C187" t="s">
        <v>9</v>
      </c>
      <c r="D187" t="s">
        <v>10</v>
      </c>
      <c r="E187">
        <v>5</v>
      </c>
      <c r="F187">
        <v>20.69</v>
      </c>
      <c r="G187">
        <v>5</v>
      </c>
    </row>
    <row r="188" spans="1:7" x14ac:dyDescent="0.3">
      <c r="A188" t="s">
        <v>7</v>
      </c>
      <c r="B188" t="s">
        <v>22</v>
      </c>
      <c r="C188" t="s">
        <v>9</v>
      </c>
      <c r="D188" t="s">
        <v>10</v>
      </c>
      <c r="E188">
        <v>3</v>
      </c>
      <c r="F188">
        <v>20.9</v>
      </c>
      <c r="G188">
        <v>3.5</v>
      </c>
    </row>
    <row r="189" spans="1:7" x14ac:dyDescent="0.3">
      <c r="A189" t="s">
        <v>11</v>
      </c>
      <c r="B189" t="s">
        <v>22</v>
      </c>
      <c r="C189" t="s">
        <v>9</v>
      </c>
      <c r="D189" t="s">
        <v>10</v>
      </c>
      <c r="E189">
        <v>5</v>
      </c>
      <c r="F189">
        <v>30.46</v>
      </c>
      <c r="G189">
        <v>2</v>
      </c>
    </row>
    <row r="190" spans="1:7" x14ac:dyDescent="0.3">
      <c r="A190" t="s">
        <v>7</v>
      </c>
      <c r="B190" t="s">
        <v>22</v>
      </c>
      <c r="C190" t="s">
        <v>9</v>
      </c>
      <c r="D190" t="s">
        <v>10</v>
      </c>
      <c r="E190">
        <v>3</v>
      </c>
      <c r="F190">
        <v>18.149999999999999</v>
      </c>
      <c r="G190">
        <v>3.5</v>
      </c>
    </row>
    <row r="191" spans="1:7" x14ac:dyDescent="0.3">
      <c r="A191" t="s">
        <v>11</v>
      </c>
      <c r="B191" t="s">
        <v>22</v>
      </c>
      <c r="C191" t="s">
        <v>9</v>
      </c>
      <c r="D191" t="s">
        <v>10</v>
      </c>
      <c r="E191">
        <v>3</v>
      </c>
      <c r="F191">
        <v>23.1</v>
      </c>
      <c r="G191">
        <v>4</v>
      </c>
    </row>
    <row r="192" spans="1:7" x14ac:dyDescent="0.3">
      <c r="A192" t="s">
        <v>11</v>
      </c>
      <c r="B192" t="s">
        <v>22</v>
      </c>
      <c r="C192" t="s">
        <v>9</v>
      </c>
      <c r="D192" t="s">
        <v>10</v>
      </c>
      <c r="E192">
        <v>2</v>
      </c>
      <c r="F192">
        <v>15.69</v>
      </c>
      <c r="G192">
        <v>1.5</v>
      </c>
    </row>
    <row r="193" spans="1:7" x14ac:dyDescent="0.3">
      <c r="A193" t="s">
        <v>7</v>
      </c>
      <c r="B193" t="s">
        <v>22</v>
      </c>
      <c r="C193" t="s">
        <v>23</v>
      </c>
      <c r="D193" t="s">
        <v>24</v>
      </c>
      <c r="E193">
        <v>2</v>
      </c>
      <c r="F193">
        <v>19.809999999999999</v>
      </c>
      <c r="G193">
        <v>4.1900000000000004</v>
      </c>
    </row>
    <row r="194" spans="1:7" x14ac:dyDescent="0.3">
      <c r="A194" t="s">
        <v>11</v>
      </c>
      <c r="B194" t="s">
        <v>22</v>
      </c>
      <c r="C194" t="s">
        <v>23</v>
      </c>
      <c r="D194" t="s">
        <v>24</v>
      </c>
      <c r="E194">
        <v>2</v>
      </c>
      <c r="F194">
        <v>28.44</v>
      </c>
      <c r="G194">
        <v>2.56</v>
      </c>
    </row>
    <row r="195" spans="1:7" x14ac:dyDescent="0.3">
      <c r="A195" t="s">
        <v>11</v>
      </c>
      <c r="B195" t="s">
        <v>22</v>
      </c>
      <c r="C195" t="s">
        <v>23</v>
      </c>
      <c r="D195" t="s">
        <v>24</v>
      </c>
      <c r="E195">
        <v>2</v>
      </c>
      <c r="F195">
        <v>15.48</v>
      </c>
      <c r="G195">
        <v>2.02</v>
      </c>
    </row>
    <row r="196" spans="1:7" x14ac:dyDescent="0.3">
      <c r="A196" t="s">
        <v>11</v>
      </c>
      <c r="B196" t="s">
        <v>22</v>
      </c>
      <c r="C196" t="s">
        <v>23</v>
      </c>
      <c r="D196" t="s">
        <v>24</v>
      </c>
      <c r="E196">
        <v>2</v>
      </c>
      <c r="F196">
        <v>16.579999999999998</v>
      </c>
      <c r="G196">
        <v>4</v>
      </c>
    </row>
    <row r="197" spans="1:7" x14ac:dyDescent="0.3">
      <c r="A197" t="s">
        <v>11</v>
      </c>
      <c r="B197" t="s">
        <v>8</v>
      </c>
      <c r="C197" t="s">
        <v>23</v>
      </c>
      <c r="D197" t="s">
        <v>24</v>
      </c>
      <c r="E197">
        <v>2</v>
      </c>
      <c r="F197">
        <v>7.56</v>
      </c>
      <c r="G197">
        <v>1.44</v>
      </c>
    </row>
    <row r="198" spans="1:7" x14ac:dyDescent="0.3">
      <c r="A198" t="s">
        <v>11</v>
      </c>
      <c r="B198" t="s">
        <v>22</v>
      </c>
      <c r="C198" t="s">
        <v>23</v>
      </c>
      <c r="D198" t="s">
        <v>24</v>
      </c>
      <c r="E198">
        <v>2</v>
      </c>
      <c r="F198">
        <v>10.34</v>
      </c>
      <c r="G198">
        <v>2</v>
      </c>
    </row>
    <row r="199" spans="1:7" x14ac:dyDescent="0.3">
      <c r="A199" t="s">
        <v>7</v>
      </c>
      <c r="B199" t="s">
        <v>22</v>
      </c>
      <c r="C199" t="s">
        <v>23</v>
      </c>
      <c r="D199" t="s">
        <v>24</v>
      </c>
      <c r="E199">
        <v>4</v>
      </c>
      <c r="F199">
        <v>43.11</v>
      </c>
      <c r="G199">
        <v>5</v>
      </c>
    </row>
    <row r="200" spans="1:7" x14ac:dyDescent="0.3">
      <c r="A200" t="s">
        <v>7</v>
      </c>
      <c r="B200" t="s">
        <v>22</v>
      </c>
      <c r="C200" t="s">
        <v>23</v>
      </c>
      <c r="D200" t="s">
        <v>24</v>
      </c>
      <c r="E200">
        <v>2</v>
      </c>
      <c r="F200">
        <v>13</v>
      </c>
      <c r="G200">
        <v>2</v>
      </c>
    </row>
    <row r="201" spans="1:7" x14ac:dyDescent="0.3">
      <c r="A201" t="s">
        <v>11</v>
      </c>
      <c r="B201" t="s">
        <v>22</v>
      </c>
      <c r="C201" t="s">
        <v>23</v>
      </c>
      <c r="D201" t="s">
        <v>24</v>
      </c>
      <c r="E201">
        <v>2</v>
      </c>
      <c r="F201">
        <v>13.51</v>
      </c>
      <c r="G201">
        <v>2</v>
      </c>
    </row>
    <row r="202" spans="1:7" x14ac:dyDescent="0.3">
      <c r="A202" t="s">
        <v>11</v>
      </c>
      <c r="B202" t="s">
        <v>22</v>
      </c>
      <c r="C202" t="s">
        <v>23</v>
      </c>
      <c r="D202" t="s">
        <v>24</v>
      </c>
      <c r="E202">
        <v>3</v>
      </c>
      <c r="F202">
        <v>18.71</v>
      </c>
      <c r="G202">
        <v>4</v>
      </c>
    </row>
    <row r="203" spans="1:7" x14ac:dyDescent="0.3">
      <c r="A203" t="s">
        <v>7</v>
      </c>
      <c r="B203" t="s">
        <v>22</v>
      </c>
      <c r="C203" t="s">
        <v>23</v>
      </c>
      <c r="D203" t="s">
        <v>24</v>
      </c>
      <c r="E203">
        <v>2</v>
      </c>
      <c r="F203">
        <v>12.74</v>
      </c>
      <c r="G203">
        <v>2.0099999999999998</v>
      </c>
    </row>
    <row r="204" spans="1:7" x14ac:dyDescent="0.3">
      <c r="A204" t="s">
        <v>7</v>
      </c>
      <c r="B204" t="s">
        <v>22</v>
      </c>
      <c r="C204" t="s">
        <v>23</v>
      </c>
      <c r="D204" t="s">
        <v>24</v>
      </c>
      <c r="E204">
        <v>2</v>
      </c>
      <c r="F204">
        <v>13</v>
      </c>
      <c r="G204">
        <v>2</v>
      </c>
    </row>
    <row r="205" spans="1:7" x14ac:dyDescent="0.3">
      <c r="A205" t="s">
        <v>7</v>
      </c>
      <c r="B205" t="s">
        <v>22</v>
      </c>
      <c r="C205" t="s">
        <v>23</v>
      </c>
      <c r="D205" t="s">
        <v>24</v>
      </c>
      <c r="E205">
        <v>2</v>
      </c>
      <c r="F205">
        <v>16.399999999999999</v>
      </c>
      <c r="G205">
        <v>2.5</v>
      </c>
    </row>
    <row r="206" spans="1:7" x14ac:dyDescent="0.3">
      <c r="A206" t="s">
        <v>11</v>
      </c>
      <c r="B206" t="s">
        <v>22</v>
      </c>
      <c r="C206" t="s">
        <v>23</v>
      </c>
      <c r="D206" t="s">
        <v>24</v>
      </c>
      <c r="E206">
        <v>4</v>
      </c>
      <c r="F206">
        <v>20.53</v>
      </c>
      <c r="G206">
        <v>4</v>
      </c>
    </row>
    <row r="207" spans="1:7" x14ac:dyDescent="0.3">
      <c r="A207" t="s">
        <v>7</v>
      </c>
      <c r="B207" t="s">
        <v>22</v>
      </c>
      <c r="C207" t="s">
        <v>23</v>
      </c>
      <c r="D207" t="s">
        <v>24</v>
      </c>
      <c r="E207">
        <v>3</v>
      </c>
      <c r="F207">
        <v>16.47</v>
      </c>
      <c r="G207">
        <v>3.23</v>
      </c>
    </row>
    <row r="208" spans="1:7" x14ac:dyDescent="0.3">
      <c r="A208" t="s">
        <v>11</v>
      </c>
      <c r="B208" t="s">
        <v>22</v>
      </c>
      <c r="C208" t="s">
        <v>21</v>
      </c>
      <c r="D208" t="s">
        <v>10</v>
      </c>
      <c r="E208">
        <v>3</v>
      </c>
      <c r="F208">
        <v>26.59</v>
      </c>
      <c r="G208">
        <v>3.41</v>
      </c>
    </row>
    <row r="209" spans="1:7" x14ac:dyDescent="0.3">
      <c r="A209" t="s">
        <v>11</v>
      </c>
      <c r="B209" t="s">
        <v>22</v>
      </c>
      <c r="C209" t="s">
        <v>21</v>
      </c>
      <c r="D209" t="s">
        <v>10</v>
      </c>
      <c r="E209">
        <v>4</v>
      </c>
      <c r="F209">
        <v>38.729999999999997</v>
      </c>
      <c r="G209">
        <v>3</v>
      </c>
    </row>
    <row r="210" spans="1:7" x14ac:dyDescent="0.3">
      <c r="A210" t="s">
        <v>11</v>
      </c>
      <c r="B210" t="s">
        <v>22</v>
      </c>
      <c r="C210" t="s">
        <v>21</v>
      </c>
      <c r="D210" t="s">
        <v>10</v>
      </c>
      <c r="E210">
        <v>2</v>
      </c>
      <c r="F210">
        <v>24.27</v>
      </c>
      <c r="G210">
        <v>2.0299999999999998</v>
      </c>
    </row>
    <row r="211" spans="1:7" x14ac:dyDescent="0.3">
      <c r="A211" t="s">
        <v>7</v>
      </c>
      <c r="B211" t="s">
        <v>22</v>
      </c>
      <c r="C211" t="s">
        <v>21</v>
      </c>
      <c r="D211" t="s">
        <v>10</v>
      </c>
      <c r="E211">
        <v>2</v>
      </c>
      <c r="F211">
        <v>12.76</v>
      </c>
      <c r="G211">
        <v>2.23</v>
      </c>
    </row>
    <row r="212" spans="1:7" x14ac:dyDescent="0.3">
      <c r="A212" t="s">
        <v>11</v>
      </c>
      <c r="B212" t="s">
        <v>22</v>
      </c>
      <c r="C212" t="s">
        <v>21</v>
      </c>
      <c r="D212" t="s">
        <v>10</v>
      </c>
      <c r="E212">
        <v>3</v>
      </c>
      <c r="F212">
        <v>30.06</v>
      </c>
      <c r="G212">
        <v>2</v>
      </c>
    </row>
    <row r="213" spans="1:7" x14ac:dyDescent="0.3">
      <c r="A213" t="s">
        <v>11</v>
      </c>
      <c r="B213" t="s">
        <v>22</v>
      </c>
      <c r="C213" t="s">
        <v>21</v>
      </c>
      <c r="D213" t="s">
        <v>10</v>
      </c>
      <c r="E213">
        <v>4</v>
      </c>
      <c r="F213">
        <v>25.89</v>
      </c>
      <c r="G213">
        <v>5.16</v>
      </c>
    </row>
    <row r="214" spans="1:7" x14ac:dyDescent="0.3">
      <c r="A214" t="s">
        <v>11</v>
      </c>
      <c r="B214" t="s">
        <v>8</v>
      </c>
      <c r="C214" t="s">
        <v>21</v>
      </c>
      <c r="D214" t="s">
        <v>10</v>
      </c>
      <c r="E214">
        <v>4</v>
      </c>
      <c r="F214">
        <v>48.33</v>
      </c>
      <c r="G214">
        <v>9</v>
      </c>
    </row>
    <row r="215" spans="1:7" x14ac:dyDescent="0.3">
      <c r="A215" t="s">
        <v>7</v>
      </c>
      <c r="B215" t="s">
        <v>22</v>
      </c>
      <c r="C215" t="s">
        <v>21</v>
      </c>
      <c r="D215" t="s">
        <v>10</v>
      </c>
      <c r="E215">
        <v>2</v>
      </c>
      <c r="F215">
        <v>13.27</v>
      </c>
      <c r="G215">
        <v>2.5</v>
      </c>
    </row>
    <row r="216" spans="1:7" x14ac:dyDescent="0.3">
      <c r="A216" t="s">
        <v>7</v>
      </c>
      <c r="B216" t="s">
        <v>22</v>
      </c>
      <c r="C216" t="s">
        <v>21</v>
      </c>
      <c r="D216" t="s">
        <v>10</v>
      </c>
      <c r="E216">
        <v>3</v>
      </c>
      <c r="F216">
        <v>28.17</v>
      </c>
      <c r="G216">
        <v>6.5</v>
      </c>
    </row>
    <row r="217" spans="1:7" x14ac:dyDescent="0.3">
      <c r="A217" t="s">
        <v>7</v>
      </c>
      <c r="B217" t="s">
        <v>22</v>
      </c>
      <c r="C217" t="s">
        <v>21</v>
      </c>
      <c r="D217" t="s">
        <v>10</v>
      </c>
      <c r="E217">
        <v>2</v>
      </c>
      <c r="F217">
        <v>12.9</v>
      </c>
      <c r="G217">
        <v>1.1000000000000001</v>
      </c>
    </row>
    <row r="218" spans="1:7" x14ac:dyDescent="0.3">
      <c r="A218" t="s">
        <v>11</v>
      </c>
      <c r="B218" t="s">
        <v>22</v>
      </c>
      <c r="C218" t="s">
        <v>21</v>
      </c>
      <c r="D218" t="s">
        <v>10</v>
      </c>
      <c r="E218">
        <v>5</v>
      </c>
      <c r="F218">
        <v>28.15</v>
      </c>
      <c r="G218">
        <v>3</v>
      </c>
    </row>
    <row r="219" spans="1:7" x14ac:dyDescent="0.3">
      <c r="A219" t="s">
        <v>11</v>
      </c>
      <c r="B219" t="s">
        <v>22</v>
      </c>
      <c r="C219" t="s">
        <v>21</v>
      </c>
      <c r="D219" t="s">
        <v>10</v>
      </c>
      <c r="E219">
        <v>2</v>
      </c>
      <c r="F219">
        <v>11.59</v>
      </c>
      <c r="G219">
        <v>1.5</v>
      </c>
    </row>
    <row r="220" spans="1:7" x14ac:dyDescent="0.3">
      <c r="A220" t="s">
        <v>11</v>
      </c>
      <c r="B220" t="s">
        <v>22</v>
      </c>
      <c r="C220" t="s">
        <v>21</v>
      </c>
      <c r="D220" t="s">
        <v>10</v>
      </c>
      <c r="E220">
        <v>2</v>
      </c>
      <c r="F220">
        <v>7.74</v>
      </c>
      <c r="G220">
        <v>1.44</v>
      </c>
    </row>
    <row r="221" spans="1:7" x14ac:dyDescent="0.3">
      <c r="A221" t="s">
        <v>7</v>
      </c>
      <c r="B221" t="s">
        <v>22</v>
      </c>
      <c r="C221" t="s">
        <v>21</v>
      </c>
      <c r="D221" t="s">
        <v>10</v>
      </c>
      <c r="E221">
        <v>4</v>
      </c>
      <c r="F221">
        <v>30.14</v>
      </c>
      <c r="G221">
        <v>3.09</v>
      </c>
    </row>
    <row r="222" spans="1:7" x14ac:dyDescent="0.3">
      <c r="A222" t="s">
        <v>11</v>
      </c>
      <c r="B222" t="s">
        <v>22</v>
      </c>
      <c r="C222" t="s">
        <v>25</v>
      </c>
      <c r="D222" t="s">
        <v>24</v>
      </c>
      <c r="E222">
        <v>2</v>
      </c>
      <c r="F222">
        <v>12.16</v>
      </c>
      <c r="G222">
        <v>2.2000000000000002</v>
      </c>
    </row>
    <row r="223" spans="1:7" x14ac:dyDescent="0.3">
      <c r="A223" t="s">
        <v>7</v>
      </c>
      <c r="B223" t="s">
        <v>22</v>
      </c>
      <c r="C223" t="s">
        <v>25</v>
      </c>
      <c r="D223" t="s">
        <v>24</v>
      </c>
      <c r="E223">
        <v>2</v>
      </c>
      <c r="F223">
        <v>13.42</v>
      </c>
      <c r="G223">
        <v>3.48</v>
      </c>
    </row>
    <row r="224" spans="1:7" x14ac:dyDescent="0.3">
      <c r="A224" t="s">
        <v>11</v>
      </c>
      <c r="B224" t="s">
        <v>22</v>
      </c>
      <c r="C224" t="s">
        <v>25</v>
      </c>
      <c r="D224" t="s">
        <v>24</v>
      </c>
      <c r="E224">
        <v>1</v>
      </c>
      <c r="F224">
        <v>8.58</v>
      </c>
      <c r="G224">
        <v>1.92</v>
      </c>
    </row>
    <row r="225" spans="1:7" x14ac:dyDescent="0.3">
      <c r="A225" t="s">
        <v>7</v>
      </c>
      <c r="B225" t="s">
        <v>8</v>
      </c>
      <c r="C225" t="s">
        <v>25</v>
      </c>
      <c r="D225" t="s">
        <v>24</v>
      </c>
      <c r="E225">
        <v>3</v>
      </c>
      <c r="F225">
        <v>15.98</v>
      </c>
      <c r="G225">
        <v>3</v>
      </c>
    </row>
    <row r="226" spans="1:7" x14ac:dyDescent="0.3">
      <c r="A226" t="s">
        <v>11</v>
      </c>
      <c r="B226" t="s">
        <v>22</v>
      </c>
      <c r="C226" t="s">
        <v>25</v>
      </c>
      <c r="D226" t="s">
        <v>24</v>
      </c>
      <c r="E226">
        <v>2</v>
      </c>
      <c r="F226">
        <v>13.42</v>
      </c>
      <c r="G226">
        <v>1.58</v>
      </c>
    </row>
    <row r="227" spans="1:7" x14ac:dyDescent="0.3">
      <c r="A227" t="s">
        <v>7</v>
      </c>
      <c r="B227" t="s">
        <v>22</v>
      </c>
      <c r="C227" t="s">
        <v>25</v>
      </c>
      <c r="D227" t="s">
        <v>24</v>
      </c>
      <c r="E227">
        <v>2</v>
      </c>
      <c r="F227">
        <v>16.27</v>
      </c>
      <c r="G227">
        <v>2.5</v>
      </c>
    </row>
    <row r="228" spans="1:7" x14ac:dyDescent="0.3">
      <c r="A228" t="s">
        <v>7</v>
      </c>
      <c r="B228" t="s">
        <v>22</v>
      </c>
      <c r="C228" t="s">
        <v>25</v>
      </c>
      <c r="D228" t="s">
        <v>24</v>
      </c>
      <c r="E228">
        <v>2</v>
      </c>
      <c r="F228">
        <v>10.09</v>
      </c>
      <c r="G228">
        <v>2</v>
      </c>
    </row>
    <row r="229" spans="1:7" x14ac:dyDescent="0.3">
      <c r="A229" t="s">
        <v>11</v>
      </c>
      <c r="B229" t="s">
        <v>8</v>
      </c>
      <c r="C229" t="s">
        <v>21</v>
      </c>
      <c r="D229" t="s">
        <v>10</v>
      </c>
      <c r="E229">
        <v>4</v>
      </c>
      <c r="F229">
        <v>20.45</v>
      </c>
      <c r="G229">
        <v>3</v>
      </c>
    </row>
    <row r="230" spans="1:7" x14ac:dyDescent="0.3">
      <c r="A230" t="s">
        <v>11</v>
      </c>
      <c r="B230" t="s">
        <v>8</v>
      </c>
      <c r="C230" t="s">
        <v>21</v>
      </c>
      <c r="D230" t="s">
        <v>10</v>
      </c>
      <c r="E230">
        <v>2</v>
      </c>
      <c r="F230">
        <v>13.28</v>
      </c>
      <c r="G230">
        <v>2.72</v>
      </c>
    </row>
    <row r="231" spans="1:7" x14ac:dyDescent="0.3">
      <c r="A231" t="s">
        <v>7</v>
      </c>
      <c r="B231" t="s">
        <v>22</v>
      </c>
      <c r="C231" t="s">
        <v>21</v>
      </c>
      <c r="D231" t="s">
        <v>10</v>
      </c>
      <c r="E231">
        <v>2</v>
      </c>
      <c r="F231">
        <v>22.12</v>
      </c>
      <c r="G231">
        <v>2.88</v>
      </c>
    </row>
    <row r="232" spans="1:7" x14ac:dyDescent="0.3">
      <c r="A232" t="s">
        <v>11</v>
      </c>
      <c r="B232" t="s">
        <v>22</v>
      </c>
      <c r="C232" t="s">
        <v>21</v>
      </c>
      <c r="D232" t="s">
        <v>10</v>
      </c>
      <c r="E232">
        <v>4</v>
      </c>
      <c r="F232">
        <v>24.01</v>
      </c>
      <c r="G232">
        <v>2</v>
      </c>
    </row>
    <row r="233" spans="1:7" x14ac:dyDescent="0.3">
      <c r="A233" t="s">
        <v>11</v>
      </c>
      <c r="B233" t="s">
        <v>22</v>
      </c>
      <c r="C233" t="s">
        <v>21</v>
      </c>
      <c r="D233" t="s">
        <v>10</v>
      </c>
      <c r="E233">
        <v>3</v>
      </c>
      <c r="F233">
        <v>15.69</v>
      </c>
      <c r="G233">
        <v>3</v>
      </c>
    </row>
    <row r="234" spans="1:7" x14ac:dyDescent="0.3">
      <c r="A234" t="s">
        <v>11</v>
      </c>
      <c r="B234" t="s">
        <v>8</v>
      </c>
      <c r="C234" t="s">
        <v>21</v>
      </c>
      <c r="D234" t="s">
        <v>10</v>
      </c>
      <c r="E234">
        <v>2</v>
      </c>
      <c r="F234">
        <v>11.61</v>
      </c>
      <c r="G234">
        <v>3.39</v>
      </c>
    </row>
    <row r="235" spans="1:7" x14ac:dyDescent="0.3">
      <c r="A235" t="s">
        <v>11</v>
      </c>
      <c r="B235" t="s">
        <v>8</v>
      </c>
      <c r="C235" t="s">
        <v>21</v>
      </c>
      <c r="D235" t="s">
        <v>10</v>
      </c>
      <c r="E235">
        <v>2</v>
      </c>
      <c r="F235">
        <v>10.77</v>
      </c>
      <c r="G235">
        <v>1.47</v>
      </c>
    </row>
    <row r="236" spans="1:7" x14ac:dyDescent="0.3">
      <c r="A236" t="s">
        <v>11</v>
      </c>
      <c r="B236" t="s">
        <v>22</v>
      </c>
      <c r="C236" t="s">
        <v>21</v>
      </c>
      <c r="D236" t="s">
        <v>10</v>
      </c>
      <c r="E236">
        <v>2</v>
      </c>
      <c r="F236">
        <v>15.53</v>
      </c>
      <c r="G236">
        <v>3</v>
      </c>
    </row>
    <row r="237" spans="1:7" x14ac:dyDescent="0.3">
      <c r="A237" t="s">
        <v>11</v>
      </c>
      <c r="B237" t="s">
        <v>8</v>
      </c>
      <c r="C237" t="s">
        <v>21</v>
      </c>
      <c r="D237" t="s">
        <v>10</v>
      </c>
      <c r="E237">
        <v>2</v>
      </c>
      <c r="F237">
        <v>10.07</v>
      </c>
      <c r="G237">
        <v>1.25</v>
      </c>
    </row>
    <row r="238" spans="1:7" x14ac:dyDescent="0.3">
      <c r="A238" t="s">
        <v>11</v>
      </c>
      <c r="B238" t="s">
        <v>22</v>
      </c>
      <c r="C238" t="s">
        <v>21</v>
      </c>
      <c r="D238" t="s">
        <v>10</v>
      </c>
      <c r="E238">
        <v>2</v>
      </c>
      <c r="F238">
        <v>12.6</v>
      </c>
      <c r="G238">
        <v>1</v>
      </c>
    </row>
    <row r="239" spans="1:7" x14ac:dyDescent="0.3">
      <c r="A239" t="s">
        <v>11</v>
      </c>
      <c r="B239" t="s">
        <v>22</v>
      </c>
      <c r="C239" t="s">
        <v>21</v>
      </c>
      <c r="D239" t="s">
        <v>10</v>
      </c>
      <c r="E239">
        <v>2</v>
      </c>
      <c r="F239">
        <v>32.83</v>
      </c>
      <c r="G239">
        <v>1.17</v>
      </c>
    </row>
    <row r="240" spans="1:7" x14ac:dyDescent="0.3">
      <c r="A240" t="s">
        <v>7</v>
      </c>
      <c r="B240" t="s">
        <v>8</v>
      </c>
      <c r="C240" t="s">
        <v>21</v>
      </c>
      <c r="D240" t="s">
        <v>10</v>
      </c>
      <c r="E240">
        <v>3</v>
      </c>
      <c r="F240">
        <v>35.83</v>
      </c>
      <c r="G240">
        <v>4.67</v>
      </c>
    </row>
    <row r="241" spans="1:7" x14ac:dyDescent="0.3">
      <c r="A241" t="s">
        <v>11</v>
      </c>
      <c r="B241" t="s">
        <v>8</v>
      </c>
      <c r="C241" t="s">
        <v>21</v>
      </c>
      <c r="D241" t="s">
        <v>10</v>
      </c>
      <c r="E241">
        <v>3</v>
      </c>
      <c r="F241">
        <v>29.03</v>
      </c>
      <c r="G241">
        <v>5.92</v>
      </c>
    </row>
    <row r="242" spans="1:7" x14ac:dyDescent="0.3">
      <c r="A242" t="s">
        <v>7</v>
      </c>
      <c r="B242" t="s">
        <v>22</v>
      </c>
      <c r="C242" t="s">
        <v>21</v>
      </c>
      <c r="D242" t="s">
        <v>10</v>
      </c>
      <c r="E242">
        <v>2</v>
      </c>
      <c r="F242">
        <v>27.18</v>
      </c>
      <c r="G242">
        <v>2</v>
      </c>
    </row>
    <row r="243" spans="1:7" x14ac:dyDescent="0.3">
      <c r="A243" t="s">
        <v>11</v>
      </c>
      <c r="B243" t="s">
        <v>22</v>
      </c>
      <c r="C243" t="s">
        <v>21</v>
      </c>
      <c r="D243" t="s">
        <v>10</v>
      </c>
      <c r="E243">
        <v>2</v>
      </c>
      <c r="F243">
        <v>22.67</v>
      </c>
      <c r="G243">
        <v>2</v>
      </c>
    </row>
    <row r="244" spans="1:7" x14ac:dyDescent="0.3">
      <c r="A244" t="s">
        <v>11</v>
      </c>
      <c r="B244" t="s">
        <v>8</v>
      </c>
      <c r="C244" t="s">
        <v>21</v>
      </c>
      <c r="D244" t="s">
        <v>10</v>
      </c>
      <c r="E244">
        <v>2</v>
      </c>
      <c r="F244">
        <v>17.82</v>
      </c>
      <c r="G244">
        <v>1.75</v>
      </c>
    </row>
    <row r="245" spans="1:7" x14ac:dyDescent="0.3">
      <c r="A245" t="s">
        <v>7</v>
      </c>
      <c r="B245" t="s">
        <v>8</v>
      </c>
      <c r="C245" t="s">
        <v>23</v>
      </c>
      <c r="D245" t="s">
        <v>10</v>
      </c>
      <c r="E245">
        <v>2</v>
      </c>
      <c r="F245">
        <v>18.78</v>
      </c>
      <c r="G245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8B2AD-BC4D-45C6-93BD-A314DF3EAF85}">
  <dimension ref="A3:B6"/>
  <sheetViews>
    <sheetView workbookViewId="0">
      <selection activeCell="A18" sqref="A18"/>
    </sheetView>
  </sheetViews>
  <sheetFormatPr defaultRowHeight="14.4" x14ac:dyDescent="0.3"/>
  <cols>
    <col min="1" max="1" width="12.5546875" bestFit="1" customWidth="1"/>
    <col min="2" max="2" width="9.6640625" bestFit="1" customWidth="1"/>
  </cols>
  <sheetData>
    <row r="3" spans="1:2" x14ac:dyDescent="0.3">
      <c r="A3" s="12" t="s">
        <v>26</v>
      </c>
      <c r="B3" t="s">
        <v>28</v>
      </c>
    </row>
    <row r="4" spans="1:2" x14ac:dyDescent="0.3">
      <c r="A4" s="13" t="s">
        <v>7</v>
      </c>
      <c r="B4" s="14">
        <v>244.51</v>
      </c>
    </row>
    <row r="5" spans="1:2" x14ac:dyDescent="0.3">
      <c r="A5" s="13" t="s">
        <v>11</v>
      </c>
      <c r="B5" s="14">
        <v>485.07000000000011</v>
      </c>
    </row>
    <row r="6" spans="1:2" x14ac:dyDescent="0.3">
      <c r="A6" s="13" t="s">
        <v>27</v>
      </c>
      <c r="B6" s="14">
        <v>729.58000000000015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8CD9E-214D-4553-A7B9-05B823815004}">
  <dimension ref="A3:C20"/>
  <sheetViews>
    <sheetView tabSelected="1" workbookViewId="0">
      <selection activeCell="A3" sqref="A3"/>
    </sheetView>
  </sheetViews>
  <sheetFormatPr defaultRowHeight="14.4" x14ac:dyDescent="0.3"/>
  <sheetData>
    <row r="3" spans="1:3" x14ac:dyDescent="0.3">
      <c r="A3" s="3"/>
      <c r="B3" s="4"/>
      <c r="C3" s="5"/>
    </row>
    <row r="4" spans="1:3" x14ac:dyDescent="0.3">
      <c r="A4" s="6"/>
      <c r="B4" s="7"/>
      <c r="C4" s="8"/>
    </row>
    <row r="5" spans="1:3" x14ac:dyDescent="0.3">
      <c r="A5" s="6"/>
      <c r="B5" s="7"/>
      <c r="C5" s="8"/>
    </row>
    <row r="6" spans="1:3" x14ac:dyDescent="0.3">
      <c r="A6" s="6"/>
      <c r="B6" s="7"/>
      <c r="C6" s="8"/>
    </row>
    <row r="7" spans="1:3" x14ac:dyDescent="0.3">
      <c r="A7" s="6"/>
      <c r="B7" s="7"/>
      <c r="C7" s="8"/>
    </row>
    <row r="8" spans="1:3" x14ac:dyDescent="0.3">
      <c r="A8" s="6"/>
      <c r="B8" s="7"/>
      <c r="C8" s="8"/>
    </row>
    <row r="9" spans="1:3" x14ac:dyDescent="0.3">
      <c r="A9" s="6"/>
      <c r="B9" s="7"/>
      <c r="C9" s="8"/>
    </row>
    <row r="10" spans="1:3" x14ac:dyDescent="0.3">
      <c r="A10" s="6"/>
      <c r="B10" s="7"/>
      <c r="C10" s="8"/>
    </row>
    <row r="11" spans="1:3" x14ac:dyDescent="0.3">
      <c r="A11" s="6"/>
      <c r="B11" s="7"/>
      <c r="C11" s="8"/>
    </row>
    <row r="12" spans="1:3" x14ac:dyDescent="0.3">
      <c r="A12" s="6"/>
      <c r="B12" s="7"/>
      <c r="C12" s="8"/>
    </row>
    <row r="13" spans="1:3" x14ac:dyDescent="0.3">
      <c r="A13" s="6"/>
      <c r="B13" s="7"/>
      <c r="C13" s="8"/>
    </row>
    <row r="14" spans="1:3" x14ac:dyDescent="0.3">
      <c r="A14" s="6"/>
      <c r="B14" s="7"/>
      <c r="C14" s="8"/>
    </row>
    <row r="15" spans="1:3" x14ac:dyDescent="0.3">
      <c r="A15" s="6"/>
      <c r="B15" s="7"/>
      <c r="C15" s="8"/>
    </row>
    <row r="16" spans="1:3" x14ac:dyDescent="0.3">
      <c r="A16" s="6"/>
      <c r="B16" s="7"/>
      <c r="C16" s="8"/>
    </row>
    <row r="17" spans="1:3" x14ac:dyDescent="0.3">
      <c r="A17" s="6"/>
      <c r="B17" s="7"/>
      <c r="C17" s="8"/>
    </row>
    <row r="18" spans="1:3" x14ac:dyDescent="0.3">
      <c r="A18" s="6"/>
      <c r="B18" s="7"/>
      <c r="C18" s="8"/>
    </row>
    <row r="19" spans="1:3" x14ac:dyDescent="0.3">
      <c r="A19" s="6"/>
      <c r="B19" s="7"/>
      <c r="C19" s="8"/>
    </row>
    <row r="20" spans="1:3" x14ac:dyDescent="0.3">
      <c r="A20" s="9"/>
      <c r="B20" s="10"/>
      <c r="C20" s="1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ACDF56-D739-4274-BF58-31E9836A5FC0}">
  <dimension ref="A1:P244"/>
  <sheetViews>
    <sheetView workbookViewId="0"/>
  </sheetViews>
  <sheetFormatPr defaultRowHeight="14.4" x14ac:dyDescent="0.3"/>
  <sheetData>
    <row r="1" spans="1:16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J1" s="2" t="s">
        <v>0</v>
      </c>
      <c r="K1" s="2" t="s">
        <v>1</v>
      </c>
      <c r="L1" s="2" t="s">
        <v>2</v>
      </c>
      <c r="M1" s="2" t="s">
        <v>3</v>
      </c>
      <c r="N1" s="2" t="s">
        <v>4</v>
      </c>
      <c r="O1" s="2" t="s">
        <v>5</v>
      </c>
      <c r="P1" s="2" t="s">
        <v>6</v>
      </c>
    </row>
    <row r="2" spans="1:16" x14ac:dyDescent="0.3">
      <c r="A2" t="s">
        <v>7</v>
      </c>
      <c r="B2" t="s">
        <v>8</v>
      </c>
      <c r="C2" t="s">
        <v>9</v>
      </c>
      <c r="D2" t="s">
        <v>10</v>
      </c>
      <c r="E2">
        <v>2</v>
      </c>
      <c r="F2">
        <v>16.989999999999998</v>
      </c>
      <c r="G2">
        <v>1.01</v>
      </c>
      <c r="J2">
        <f>IF(A2 = "Female",2,1)</f>
        <v>2</v>
      </c>
      <c r="K2">
        <f>IF(B2="No",1,2)</f>
        <v>1</v>
      </c>
      <c r="L2" cm="1">
        <f t="array" ref="L2">_xlfn.IFS(C2="Sat",1,C2="Sun",2,C2="Thur",3,C2="Fri",4)</f>
        <v>2</v>
      </c>
      <c r="M2">
        <f>IF(D2="Lunch",1,2)</f>
        <v>2</v>
      </c>
      <c r="N2">
        <v>2</v>
      </c>
      <c r="O2">
        <v>16.989999999999998</v>
      </c>
      <c r="P2">
        <v>1.01</v>
      </c>
    </row>
    <row r="3" spans="1:16" x14ac:dyDescent="0.3">
      <c r="A3" t="s">
        <v>11</v>
      </c>
      <c r="B3" t="s">
        <v>8</v>
      </c>
      <c r="C3" t="s">
        <v>9</v>
      </c>
      <c r="D3" t="s">
        <v>10</v>
      </c>
      <c r="E3">
        <v>3</v>
      </c>
      <c r="F3">
        <v>10.34</v>
      </c>
      <c r="G3">
        <v>1.66</v>
      </c>
      <c r="J3">
        <f t="shared" ref="J3:J66" si="0">IF(A3 = "Female",2,1)</f>
        <v>1</v>
      </c>
      <c r="K3">
        <f t="shared" ref="K3:K66" si="1">IF(B3="No",1,2)</f>
        <v>1</v>
      </c>
      <c r="L3" cm="1">
        <f t="array" ref="L3">_xlfn.IFS(C3="Sat",1,C3="Sun",2,C3="Thur",3,C3="Fri",4)</f>
        <v>2</v>
      </c>
      <c r="M3">
        <f t="shared" ref="M3:M66" si="2">IF(D3="Lunch",1,2)</f>
        <v>2</v>
      </c>
      <c r="N3">
        <v>3</v>
      </c>
      <c r="O3">
        <v>10.34</v>
      </c>
      <c r="P3">
        <v>1.66</v>
      </c>
    </row>
    <row r="4" spans="1:16" x14ac:dyDescent="0.3">
      <c r="A4" t="s">
        <v>11</v>
      </c>
      <c r="B4" t="s">
        <v>8</v>
      </c>
      <c r="C4" t="s">
        <v>9</v>
      </c>
      <c r="D4" t="s">
        <v>10</v>
      </c>
      <c r="E4">
        <v>3</v>
      </c>
      <c r="F4">
        <v>21.01</v>
      </c>
      <c r="G4">
        <v>3.5</v>
      </c>
      <c r="J4">
        <f t="shared" si="0"/>
        <v>1</v>
      </c>
      <c r="K4">
        <f t="shared" si="1"/>
        <v>1</v>
      </c>
      <c r="L4" cm="1">
        <f t="array" ref="L4">_xlfn.IFS(C4="Sat",1,C4="Sun",2,C4="Thur",3,C4="Fri",4)</f>
        <v>2</v>
      </c>
      <c r="M4">
        <f t="shared" si="2"/>
        <v>2</v>
      </c>
      <c r="N4">
        <v>3</v>
      </c>
      <c r="O4">
        <v>21.01</v>
      </c>
      <c r="P4">
        <v>3.5</v>
      </c>
    </row>
    <row r="5" spans="1:16" x14ac:dyDescent="0.3">
      <c r="A5" t="s">
        <v>11</v>
      </c>
      <c r="B5" t="s">
        <v>8</v>
      </c>
      <c r="C5" t="s">
        <v>9</v>
      </c>
      <c r="D5" t="s">
        <v>10</v>
      </c>
      <c r="E5">
        <v>2</v>
      </c>
      <c r="F5">
        <v>23.68</v>
      </c>
      <c r="G5">
        <v>3.31</v>
      </c>
      <c r="J5">
        <f t="shared" si="0"/>
        <v>1</v>
      </c>
      <c r="K5">
        <f t="shared" si="1"/>
        <v>1</v>
      </c>
      <c r="L5" cm="1">
        <f t="array" ref="L5">_xlfn.IFS(C5="Sat",1,C5="Sun",2,C5="Thur",3,C5="Fri",4)</f>
        <v>2</v>
      </c>
      <c r="M5">
        <f t="shared" si="2"/>
        <v>2</v>
      </c>
      <c r="N5">
        <v>2</v>
      </c>
      <c r="O5">
        <v>23.68</v>
      </c>
      <c r="P5">
        <v>3.31</v>
      </c>
    </row>
    <row r="6" spans="1:16" x14ac:dyDescent="0.3">
      <c r="A6" t="s">
        <v>7</v>
      </c>
      <c r="B6" t="s">
        <v>8</v>
      </c>
      <c r="C6" t="s">
        <v>9</v>
      </c>
      <c r="D6" t="s">
        <v>10</v>
      </c>
      <c r="E6">
        <v>4</v>
      </c>
      <c r="F6">
        <v>24.59</v>
      </c>
      <c r="G6">
        <v>3.61</v>
      </c>
      <c r="J6">
        <f t="shared" si="0"/>
        <v>2</v>
      </c>
      <c r="K6">
        <f t="shared" si="1"/>
        <v>1</v>
      </c>
      <c r="L6" cm="1">
        <f t="array" ref="L6">_xlfn.IFS(C6="Sat",1,C6="Sun",2,C6="Thur",3,C6="Fri",4)</f>
        <v>2</v>
      </c>
      <c r="M6">
        <f t="shared" si="2"/>
        <v>2</v>
      </c>
      <c r="N6">
        <v>4</v>
      </c>
      <c r="O6">
        <v>24.59</v>
      </c>
      <c r="P6">
        <v>3.61</v>
      </c>
    </row>
    <row r="7" spans="1:16" x14ac:dyDescent="0.3">
      <c r="A7" t="s">
        <v>11</v>
      </c>
      <c r="B7" t="s">
        <v>8</v>
      </c>
      <c r="C7" t="s">
        <v>9</v>
      </c>
      <c r="D7" t="s">
        <v>10</v>
      </c>
      <c r="E7">
        <v>4</v>
      </c>
      <c r="F7">
        <v>25.29</v>
      </c>
      <c r="G7">
        <v>4.71</v>
      </c>
      <c r="J7">
        <f t="shared" si="0"/>
        <v>1</v>
      </c>
      <c r="K7">
        <f t="shared" si="1"/>
        <v>1</v>
      </c>
      <c r="L7" cm="1">
        <f t="array" ref="L7">_xlfn.IFS(C7="Sat",1,C7="Sun",2,C7="Thur",3,C7="Fri",4)</f>
        <v>2</v>
      </c>
      <c r="M7">
        <f t="shared" si="2"/>
        <v>2</v>
      </c>
      <c r="N7">
        <v>4</v>
      </c>
      <c r="O7">
        <v>25.29</v>
      </c>
      <c r="P7">
        <v>4.71</v>
      </c>
    </row>
    <row r="8" spans="1:16" x14ac:dyDescent="0.3">
      <c r="A8" t="s">
        <v>11</v>
      </c>
      <c r="B8" t="s">
        <v>8</v>
      </c>
      <c r="C8" t="s">
        <v>9</v>
      </c>
      <c r="D8" t="s">
        <v>10</v>
      </c>
      <c r="E8">
        <v>2</v>
      </c>
      <c r="F8">
        <v>8.77</v>
      </c>
      <c r="G8">
        <v>2</v>
      </c>
      <c r="J8">
        <f t="shared" si="0"/>
        <v>1</v>
      </c>
      <c r="K8">
        <f t="shared" si="1"/>
        <v>1</v>
      </c>
      <c r="L8" cm="1">
        <f t="array" ref="L8">_xlfn.IFS(C8="Sat",1,C8="Sun",2,C8="Thur",3,C8="Fri",4)</f>
        <v>2</v>
      </c>
      <c r="M8">
        <f t="shared" si="2"/>
        <v>2</v>
      </c>
      <c r="N8">
        <v>2</v>
      </c>
      <c r="O8">
        <v>8.77</v>
      </c>
      <c r="P8">
        <v>2</v>
      </c>
    </row>
    <row r="9" spans="1:16" x14ac:dyDescent="0.3">
      <c r="A9" t="s">
        <v>11</v>
      </c>
      <c r="B9" t="s">
        <v>8</v>
      </c>
      <c r="C9" t="s">
        <v>9</v>
      </c>
      <c r="D9" t="s">
        <v>10</v>
      </c>
      <c r="E9">
        <v>4</v>
      </c>
      <c r="F9">
        <v>26.88</v>
      </c>
      <c r="G9">
        <v>3.12</v>
      </c>
      <c r="J9">
        <f t="shared" si="0"/>
        <v>1</v>
      </c>
      <c r="K9">
        <f t="shared" si="1"/>
        <v>1</v>
      </c>
      <c r="L9" cm="1">
        <f t="array" ref="L9">_xlfn.IFS(C9="Sat",1,C9="Sun",2,C9="Thur",3,C9="Fri",4)</f>
        <v>2</v>
      </c>
      <c r="M9">
        <f t="shared" si="2"/>
        <v>2</v>
      </c>
      <c r="N9">
        <v>4</v>
      </c>
      <c r="O9">
        <v>26.88</v>
      </c>
      <c r="P9">
        <v>3.12</v>
      </c>
    </row>
    <row r="10" spans="1:16" x14ac:dyDescent="0.3">
      <c r="A10" t="s">
        <v>11</v>
      </c>
      <c r="B10" t="s">
        <v>8</v>
      </c>
      <c r="C10" t="s">
        <v>9</v>
      </c>
      <c r="D10" t="s">
        <v>10</v>
      </c>
      <c r="E10">
        <v>2</v>
      </c>
      <c r="F10">
        <v>15.04</v>
      </c>
      <c r="G10">
        <v>1.96</v>
      </c>
      <c r="J10">
        <f t="shared" si="0"/>
        <v>1</v>
      </c>
      <c r="K10">
        <f t="shared" si="1"/>
        <v>1</v>
      </c>
      <c r="L10" cm="1">
        <f t="array" ref="L10">_xlfn.IFS(C10="Sat",1,C10="Sun",2,C10="Thur",3,C10="Fri",4)</f>
        <v>2</v>
      </c>
      <c r="M10">
        <f t="shared" si="2"/>
        <v>2</v>
      </c>
      <c r="N10">
        <v>2</v>
      </c>
      <c r="O10">
        <v>15.04</v>
      </c>
      <c r="P10">
        <v>1.96</v>
      </c>
    </row>
    <row r="11" spans="1:16" x14ac:dyDescent="0.3">
      <c r="A11" t="s">
        <v>11</v>
      </c>
      <c r="B11" t="s">
        <v>8</v>
      </c>
      <c r="C11" t="s">
        <v>9</v>
      </c>
      <c r="D11" t="s">
        <v>10</v>
      </c>
      <c r="E11">
        <v>2</v>
      </c>
      <c r="F11">
        <v>14.78</v>
      </c>
      <c r="G11">
        <v>3.23</v>
      </c>
      <c r="J11">
        <f t="shared" si="0"/>
        <v>1</v>
      </c>
      <c r="K11">
        <f t="shared" si="1"/>
        <v>1</v>
      </c>
      <c r="L11" cm="1">
        <f t="array" ref="L11">_xlfn.IFS(C11="Sat",1,C11="Sun",2,C11="Thur",3,C11="Fri",4)</f>
        <v>2</v>
      </c>
      <c r="M11">
        <f t="shared" si="2"/>
        <v>2</v>
      </c>
      <c r="N11">
        <v>2</v>
      </c>
      <c r="O11">
        <v>14.78</v>
      </c>
      <c r="P11">
        <v>3.23</v>
      </c>
    </row>
    <row r="12" spans="1:16" x14ac:dyDescent="0.3">
      <c r="A12" t="s">
        <v>11</v>
      </c>
      <c r="B12" t="s">
        <v>8</v>
      </c>
      <c r="C12" t="s">
        <v>9</v>
      </c>
      <c r="D12" t="s">
        <v>10</v>
      </c>
      <c r="E12">
        <v>2</v>
      </c>
      <c r="F12">
        <v>10.27</v>
      </c>
      <c r="G12">
        <v>1.71</v>
      </c>
      <c r="J12">
        <f t="shared" si="0"/>
        <v>1</v>
      </c>
      <c r="K12">
        <f t="shared" si="1"/>
        <v>1</v>
      </c>
      <c r="L12" cm="1">
        <f t="array" ref="L12">_xlfn.IFS(C12="Sat",1,C12="Sun",2,C12="Thur",3,C12="Fri",4)</f>
        <v>2</v>
      </c>
      <c r="M12">
        <f t="shared" si="2"/>
        <v>2</v>
      </c>
      <c r="N12">
        <v>2</v>
      </c>
      <c r="O12">
        <v>10.27</v>
      </c>
      <c r="P12">
        <v>1.71</v>
      </c>
    </row>
    <row r="13" spans="1:16" x14ac:dyDescent="0.3">
      <c r="A13" t="s">
        <v>7</v>
      </c>
      <c r="B13" t="s">
        <v>8</v>
      </c>
      <c r="C13" t="s">
        <v>9</v>
      </c>
      <c r="D13" t="s">
        <v>10</v>
      </c>
      <c r="E13">
        <v>4</v>
      </c>
      <c r="F13">
        <v>35.26</v>
      </c>
      <c r="G13">
        <v>5</v>
      </c>
      <c r="J13">
        <f t="shared" si="0"/>
        <v>2</v>
      </c>
      <c r="K13">
        <f t="shared" si="1"/>
        <v>1</v>
      </c>
      <c r="L13" cm="1">
        <f t="array" ref="L13">_xlfn.IFS(C13="Sat",1,C13="Sun",2,C13="Thur",3,C13="Fri",4)</f>
        <v>2</v>
      </c>
      <c r="M13">
        <f t="shared" si="2"/>
        <v>2</v>
      </c>
      <c r="N13">
        <v>4</v>
      </c>
      <c r="O13">
        <v>35.26</v>
      </c>
      <c r="P13">
        <v>5</v>
      </c>
    </row>
    <row r="14" spans="1:16" x14ac:dyDescent="0.3">
      <c r="A14" t="s">
        <v>11</v>
      </c>
      <c r="B14" t="s">
        <v>8</v>
      </c>
      <c r="C14" t="s">
        <v>9</v>
      </c>
      <c r="D14" t="s">
        <v>10</v>
      </c>
      <c r="E14">
        <v>2</v>
      </c>
      <c r="F14">
        <v>15.42</v>
      </c>
      <c r="G14">
        <v>1.57</v>
      </c>
      <c r="J14">
        <f t="shared" si="0"/>
        <v>1</v>
      </c>
      <c r="K14">
        <f t="shared" si="1"/>
        <v>1</v>
      </c>
      <c r="L14" cm="1">
        <f t="array" ref="L14">_xlfn.IFS(C14="Sat",1,C14="Sun",2,C14="Thur",3,C14="Fri",4)</f>
        <v>2</v>
      </c>
      <c r="M14">
        <f t="shared" si="2"/>
        <v>2</v>
      </c>
      <c r="N14">
        <v>2</v>
      </c>
      <c r="O14">
        <v>15.42</v>
      </c>
      <c r="P14">
        <v>1.57</v>
      </c>
    </row>
    <row r="15" spans="1:16" x14ac:dyDescent="0.3">
      <c r="A15" t="s">
        <v>11</v>
      </c>
      <c r="B15" t="s">
        <v>8</v>
      </c>
      <c r="C15" t="s">
        <v>9</v>
      </c>
      <c r="D15" t="s">
        <v>10</v>
      </c>
      <c r="E15">
        <v>4</v>
      </c>
      <c r="F15">
        <v>18.43</v>
      </c>
      <c r="G15">
        <v>3</v>
      </c>
      <c r="J15">
        <f t="shared" si="0"/>
        <v>1</v>
      </c>
      <c r="K15">
        <f t="shared" si="1"/>
        <v>1</v>
      </c>
      <c r="L15" cm="1">
        <f t="array" ref="L15">_xlfn.IFS(C15="Sat",1,C15="Sun",2,C15="Thur",3,C15="Fri",4)</f>
        <v>2</v>
      </c>
      <c r="M15">
        <f t="shared" si="2"/>
        <v>2</v>
      </c>
      <c r="N15">
        <v>4</v>
      </c>
      <c r="O15">
        <v>18.43</v>
      </c>
      <c r="P15">
        <v>3</v>
      </c>
    </row>
    <row r="16" spans="1:16" x14ac:dyDescent="0.3">
      <c r="A16" t="s">
        <v>7</v>
      </c>
      <c r="B16" t="s">
        <v>8</v>
      </c>
      <c r="C16" t="s">
        <v>9</v>
      </c>
      <c r="D16" t="s">
        <v>10</v>
      </c>
      <c r="E16">
        <v>2</v>
      </c>
      <c r="F16">
        <v>14.83</v>
      </c>
      <c r="G16">
        <v>3.02</v>
      </c>
      <c r="J16">
        <f t="shared" si="0"/>
        <v>2</v>
      </c>
      <c r="K16">
        <f t="shared" si="1"/>
        <v>1</v>
      </c>
      <c r="L16" cm="1">
        <f t="array" ref="L16">_xlfn.IFS(C16="Sat",1,C16="Sun",2,C16="Thur",3,C16="Fri",4)</f>
        <v>2</v>
      </c>
      <c r="M16">
        <f t="shared" si="2"/>
        <v>2</v>
      </c>
      <c r="N16">
        <v>2</v>
      </c>
      <c r="O16">
        <v>14.83</v>
      </c>
      <c r="P16">
        <v>3.02</v>
      </c>
    </row>
    <row r="17" spans="1:16" x14ac:dyDescent="0.3">
      <c r="A17" t="s">
        <v>11</v>
      </c>
      <c r="B17" t="s">
        <v>8</v>
      </c>
      <c r="C17" t="s">
        <v>9</v>
      </c>
      <c r="D17" t="s">
        <v>10</v>
      </c>
      <c r="E17">
        <v>2</v>
      </c>
      <c r="F17">
        <v>21.58</v>
      </c>
      <c r="G17">
        <v>3.92</v>
      </c>
      <c r="J17">
        <f t="shared" si="0"/>
        <v>1</v>
      </c>
      <c r="K17">
        <f t="shared" si="1"/>
        <v>1</v>
      </c>
      <c r="L17" cm="1">
        <f t="array" ref="L17">_xlfn.IFS(C17="Sat",1,C17="Sun",2,C17="Thur",3,C17="Fri",4)</f>
        <v>2</v>
      </c>
      <c r="M17">
        <f t="shared" si="2"/>
        <v>2</v>
      </c>
      <c r="N17">
        <v>2</v>
      </c>
      <c r="O17">
        <v>21.58</v>
      </c>
      <c r="P17">
        <v>3.92</v>
      </c>
    </row>
    <row r="18" spans="1:16" x14ac:dyDescent="0.3">
      <c r="A18" t="s">
        <v>7</v>
      </c>
      <c r="B18" t="s">
        <v>8</v>
      </c>
      <c r="C18" t="s">
        <v>9</v>
      </c>
      <c r="D18" t="s">
        <v>10</v>
      </c>
      <c r="E18">
        <v>3</v>
      </c>
      <c r="F18">
        <v>10.33</v>
      </c>
      <c r="G18">
        <v>1.67</v>
      </c>
      <c r="J18">
        <f t="shared" si="0"/>
        <v>2</v>
      </c>
      <c r="K18">
        <f t="shared" si="1"/>
        <v>1</v>
      </c>
      <c r="L18" cm="1">
        <f t="array" ref="L18">_xlfn.IFS(C18="Sat",1,C18="Sun",2,C18="Thur",3,C18="Fri",4)</f>
        <v>2</v>
      </c>
      <c r="M18">
        <f t="shared" si="2"/>
        <v>2</v>
      </c>
      <c r="N18">
        <v>3</v>
      </c>
      <c r="O18">
        <v>10.33</v>
      </c>
      <c r="P18">
        <v>1.67</v>
      </c>
    </row>
    <row r="19" spans="1:16" x14ac:dyDescent="0.3">
      <c r="A19" t="s">
        <v>11</v>
      </c>
      <c r="B19" t="s">
        <v>8</v>
      </c>
      <c r="C19" t="s">
        <v>9</v>
      </c>
      <c r="D19" t="s">
        <v>10</v>
      </c>
      <c r="E19">
        <v>3</v>
      </c>
      <c r="F19">
        <v>16.29</v>
      </c>
      <c r="G19">
        <v>3.71</v>
      </c>
      <c r="J19">
        <f t="shared" si="0"/>
        <v>1</v>
      </c>
      <c r="K19">
        <f t="shared" si="1"/>
        <v>1</v>
      </c>
      <c r="L19" cm="1">
        <f t="array" ref="L19">_xlfn.IFS(C19="Sat",1,C19="Sun",2,C19="Thur",3,C19="Fri",4)</f>
        <v>2</v>
      </c>
      <c r="M19">
        <f t="shared" si="2"/>
        <v>2</v>
      </c>
      <c r="N19">
        <v>3</v>
      </c>
      <c r="O19">
        <v>16.29</v>
      </c>
      <c r="P19">
        <v>3.71</v>
      </c>
    </row>
    <row r="20" spans="1:16" x14ac:dyDescent="0.3">
      <c r="A20" t="s">
        <v>7</v>
      </c>
      <c r="B20" t="s">
        <v>8</v>
      </c>
      <c r="C20" t="s">
        <v>9</v>
      </c>
      <c r="D20" t="s">
        <v>10</v>
      </c>
      <c r="E20">
        <v>3</v>
      </c>
      <c r="F20">
        <v>16.97</v>
      </c>
      <c r="G20">
        <v>3.5</v>
      </c>
      <c r="J20">
        <f t="shared" si="0"/>
        <v>2</v>
      </c>
      <c r="K20">
        <f t="shared" si="1"/>
        <v>1</v>
      </c>
      <c r="L20" cm="1">
        <f t="array" ref="L20">_xlfn.IFS(C20="Sat",1,C20="Sun",2,C20="Thur",3,C20="Fri",4)</f>
        <v>2</v>
      </c>
      <c r="M20">
        <f t="shared" si="2"/>
        <v>2</v>
      </c>
      <c r="N20">
        <v>3</v>
      </c>
      <c r="O20">
        <v>16.97</v>
      </c>
      <c r="P20">
        <v>3.5</v>
      </c>
    </row>
    <row r="21" spans="1:16" x14ac:dyDescent="0.3">
      <c r="A21" t="s">
        <v>11</v>
      </c>
      <c r="B21" t="s">
        <v>8</v>
      </c>
      <c r="C21" t="s">
        <v>21</v>
      </c>
      <c r="D21" t="s">
        <v>10</v>
      </c>
      <c r="E21">
        <v>3</v>
      </c>
      <c r="F21">
        <v>20.65</v>
      </c>
      <c r="G21">
        <v>3.35</v>
      </c>
      <c r="J21">
        <f t="shared" si="0"/>
        <v>1</v>
      </c>
      <c r="K21">
        <f t="shared" si="1"/>
        <v>1</v>
      </c>
      <c r="L21" cm="1">
        <f t="array" ref="L21">_xlfn.IFS(C21="Sat",1,C21="Sun",2,C21="Thur",3,C21="Fri",4)</f>
        <v>1</v>
      </c>
      <c r="M21">
        <f t="shared" si="2"/>
        <v>2</v>
      </c>
      <c r="N21">
        <v>3</v>
      </c>
      <c r="O21">
        <v>20.65</v>
      </c>
      <c r="P21">
        <v>3.35</v>
      </c>
    </row>
    <row r="22" spans="1:16" x14ac:dyDescent="0.3">
      <c r="A22" t="s">
        <v>11</v>
      </c>
      <c r="B22" t="s">
        <v>8</v>
      </c>
      <c r="C22" t="s">
        <v>21</v>
      </c>
      <c r="D22" t="s">
        <v>10</v>
      </c>
      <c r="E22">
        <v>2</v>
      </c>
      <c r="F22">
        <v>17.920000000000002</v>
      </c>
      <c r="G22">
        <v>4.08</v>
      </c>
      <c r="J22">
        <f t="shared" si="0"/>
        <v>1</v>
      </c>
      <c r="K22">
        <f t="shared" si="1"/>
        <v>1</v>
      </c>
      <c r="L22" cm="1">
        <f t="array" ref="L22">_xlfn.IFS(C22="Sat",1,C22="Sun",2,C22="Thur",3,C22="Fri",4)</f>
        <v>1</v>
      </c>
      <c r="M22">
        <f t="shared" si="2"/>
        <v>2</v>
      </c>
      <c r="N22">
        <v>2</v>
      </c>
      <c r="O22">
        <v>17.920000000000002</v>
      </c>
      <c r="P22">
        <v>4.08</v>
      </c>
    </row>
    <row r="23" spans="1:16" x14ac:dyDescent="0.3">
      <c r="A23" t="s">
        <v>7</v>
      </c>
      <c r="B23" t="s">
        <v>8</v>
      </c>
      <c r="C23" t="s">
        <v>21</v>
      </c>
      <c r="D23" t="s">
        <v>10</v>
      </c>
      <c r="E23">
        <v>2</v>
      </c>
      <c r="F23">
        <v>20.29</v>
      </c>
      <c r="G23">
        <v>2.75</v>
      </c>
      <c r="J23">
        <f t="shared" si="0"/>
        <v>2</v>
      </c>
      <c r="K23">
        <f t="shared" si="1"/>
        <v>1</v>
      </c>
      <c r="L23" cm="1">
        <f t="array" ref="L23">_xlfn.IFS(C23="Sat",1,C23="Sun",2,C23="Thur",3,C23="Fri",4)</f>
        <v>1</v>
      </c>
      <c r="M23">
        <f t="shared" si="2"/>
        <v>2</v>
      </c>
      <c r="N23">
        <v>2</v>
      </c>
      <c r="O23">
        <v>20.29</v>
      </c>
      <c r="P23">
        <v>2.75</v>
      </c>
    </row>
    <row r="24" spans="1:16" x14ac:dyDescent="0.3">
      <c r="A24" t="s">
        <v>7</v>
      </c>
      <c r="B24" t="s">
        <v>8</v>
      </c>
      <c r="C24" t="s">
        <v>21</v>
      </c>
      <c r="D24" t="s">
        <v>10</v>
      </c>
      <c r="E24">
        <v>2</v>
      </c>
      <c r="F24">
        <v>15.77</v>
      </c>
      <c r="G24">
        <v>2.23</v>
      </c>
      <c r="J24">
        <f t="shared" si="0"/>
        <v>2</v>
      </c>
      <c r="K24">
        <f t="shared" si="1"/>
        <v>1</v>
      </c>
      <c r="L24" cm="1">
        <f t="array" ref="L24">_xlfn.IFS(C24="Sat",1,C24="Sun",2,C24="Thur",3,C24="Fri",4)</f>
        <v>1</v>
      </c>
      <c r="M24">
        <f t="shared" si="2"/>
        <v>2</v>
      </c>
      <c r="N24">
        <v>2</v>
      </c>
      <c r="O24">
        <v>15.77</v>
      </c>
      <c r="P24">
        <v>2.23</v>
      </c>
    </row>
    <row r="25" spans="1:16" x14ac:dyDescent="0.3">
      <c r="A25" t="s">
        <v>11</v>
      </c>
      <c r="B25" t="s">
        <v>8</v>
      </c>
      <c r="C25" t="s">
        <v>21</v>
      </c>
      <c r="D25" t="s">
        <v>10</v>
      </c>
      <c r="E25">
        <v>4</v>
      </c>
      <c r="F25">
        <v>39.42</v>
      </c>
      <c r="G25">
        <v>7.58</v>
      </c>
      <c r="J25">
        <f t="shared" si="0"/>
        <v>1</v>
      </c>
      <c r="K25">
        <f t="shared" si="1"/>
        <v>1</v>
      </c>
      <c r="L25" cm="1">
        <f t="array" ref="L25">_xlfn.IFS(C25="Sat",1,C25="Sun",2,C25="Thur",3,C25="Fri",4)</f>
        <v>1</v>
      </c>
      <c r="M25">
        <f t="shared" si="2"/>
        <v>2</v>
      </c>
      <c r="N25">
        <v>4</v>
      </c>
      <c r="O25">
        <v>39.42</v>
      </c>
      <c r="P25">
        <v>7.58</v>
      </c>
    </row>
    <row r="26" spans="1:16" x14ac:dyDescent="0.3">
      <c r="A26" t="s">
        <v>11</v>
      </c>
      <c r="B26" t="s">
        <v>8</v>
      </c>
      <c r="C26" t="s">
        <v>21</v>
      </c>
      <c r="D26" t="s">
        <v>10</v>
      </c>
      <c r="E26">
        <v>2</v>
      </c>
      <c r="F26">
        <v>19.82</v>
      </c>
      <c r="G26">
        <v>3.18</v>
      </c>
      <c r="J26">
        <f t="shared" si="0"/>
        <v>1</v>
      </c>
      <c r="K26">
        <f t="shared" si="1"/>
        <v>1</v>
      </c>
      <c r="L26" cm="1">
        <f t="array" ref="L26">_xlfn.IFS(C26="Sat",1,C26="Sun",2,C26="Thur",3,C26="Fri",4)</f>
        <v>1</v>
      </c>
      <c r="M26">
        <f t="shared" si="2"/>
        <v>2</v>
      </c>
      <c r="N26">
        <v>2</v>
      </c>
      <c r="O26">
        <v>19.82</v>
      </c>
      <c r="P26">
        <v>3.18</v>
      </c>
    </row>
    <row r="27" spans="1:16" x14ac:dyDescent="0.3">
      <c r="A27" t="s">
        <v>11</v>
      </c>
      <c r="B27" t="s">
        <v>8</v>
      </c>
      <c r="C27" t="s">
        <v>21</v>
      </c>
      <c r="D27" t="s">
        <v>10</v>
      </c>
      <c r="E27">
        <v>4</v>
      </c>
      <c r="F27">
        <v>17.809999999999999</v>
      </c>
      <c r="G27">
        <v>2.34</v>
      </c>
      <c r="J27">
        <f t="shared" si="0"/>
        <v>1</v>
      </c>
      <c r="K27">
        <f t="shared" si="1"/>
        <v>1</v>
      </c>
      <c r="L27" cm="1">
        <f t="array" ref="L27">_xlfn.IFS(C27="Sat",1,C27="Sun",2,C27="Thur",3,C27="Fri",4)</f>
        <v>1</v>
      </c>
      <c r="M27">
        <f t="shared" si="2"/>
        <v>2</v>
      </c>
      <c r="N27">
        <v>4</v>
      </c>
      <c r="O27">
        <v>17.809999999999999</v>
      </c>
      <c r="P27">
        <v>2.34</v>
      </c>
    </row>
    <row r="28" spans="1:16" x14ac:dyDescent="0.3">
      <c r="A28" t="s">
        <v>11</v>
      </c>
      <c r="B28" t="s">
        <v>8</v>
      </c>
      <c r="C28" t="s">
        <v>21</v>
      </c>
      <c r="D28" t="s">
        <v>10</v>
      </c>
      <c r="E28">
        <v>2</v>
      </c>
      <c r="F28">
        <v>13.37</v>
      </c>
      <c r="G28">
        <v>2</v>
      </c>
      <c r="J28">
        <f t="shared" si="0"/>
        <v>1</v>
      </c>
      <c r="K28">
        <f t="shared" si="1"/>
        <v>1</v>
      </c>
      <c r="L28" cm="1">
        <f t="array" ref="L28">_xlfn.IFS(C28="Sat",1,C28="Sun",2,C28="Thur",3,C28="Fri",4)</f>
        <v>1</v>
      </c>
      <c r="M28">
        <f t="shared" si="2"/>
        <v>2</v>
      </c>
      <c r="N28">
        <v>2</v>
      </c>
      <c r="O28">
        <v>13.37</v>
      </c>
      <c r="P28">
        <v>2</v>
      </c>
    </row>
    <row r="29" spans="1:16" x14ac:dyDescent="0.3">
      <c r="A29" t="s">
        <v>11</v>
      </c>
      <c r="B29" t="s">
        <v>8</v>
      </c>
      <c r="C29" t="s">
        <v>21</v>
      </c>
      <c r="D29" t="s">
        <v>10</v>
      </c>
      <c r="E29">
        <v>2</v>
      </c>
      <c r="F29">
        <v>12.69</v>
      </c>
      <c r="G29">
        <v>2</v>
      </c>
      <c r="J29">
        <f t="shared" si="0"/>
        <v>1</v>
      </c>
      <c r="K29">
        <f t="shared" si="1"/>
        <v>1</v>
      </c>
      <c r="L29" cm="1">
        <f t="array" ref="L29">_xlfn.IFS(C29="Sat",1,C29="Sun",2,C29="Thur",3,C29="Fri",4)</f>
        <v>1</v>
      </c>
      <c r="M29">
        <f t="shared" si="2"/>
        <v>2</v>
      </c>
      <c r="N29">
        <v>2</v>
      </c>
      <c r="O29">
        <v>12.69</v>
      </c>
      <c r="P29">
        <v>2</v>
      </c>
    </row>
    <row r="30" spans="1:16" x14ac:dyDescent="0.3">
      <c r="A30" t="s">
        <v>11</v>
      </c>
      <c r="B30" t="s">
        <v>8</v>
      </c>
      <c r="C30" t="s">
        <v>21</v>
      </c>
      <c r="D30" t="s">
        <v>10</v>
      </c>
      <c r="E30">
        <v>2</v>
      </c>
      <c r="F30">
        <v>21.7</v>
      </c>
      <c r="G30">
        <v>4.3</v>
      </c>
      <c r="J30">
        <f t="shared" si="0"/>
        <v>1</v>
      </c>
      <c r="K30">
        <f t="shared" si="1"/>
        <v>1</v>
      </c>
      <c r="L30" cm="1">
        <f t="array" ref="L30">_xlfn.IFS(C30="Sat",1,C30="Sun",2,C30="Thur",3,C30="Fri",4)</f>
        <v>1</v>
      </c>
      <c r="M30">
        <f t="shared" si="2"/>
        <v>2</v>
      </c>
      <c r="N30">
        <v>2</v>
      </c>
      <c r="O30">
        <v>21.7</v>
      </c>
      <c r="P30">
        <v>4.3</v>
      </c>
    </row>
    <row r="31" spans="1:16" x14ac:dyDescent="0.3">
      <c r="A31" t="s">
        <v>7</v>
      </c>
      <c r="B31" t="s">
        <v>8</v>
      </c>
      <c r="C31" t="s">
        <v>21</v>
      </c>
      <c r="D31" t="s">
        <v>10</v>
      </c>
      <c r="E31">
        <v>2</v>
      </c>
      <c r="F31">
        <v>19.649999999999999</v>
      </c>
      <c r="G31">
        <v>3</v>
      </c>
      <c r="J31">
        <f t="shared" si="0"/>
        <v>2</v>
      </c>
      <c r="K31">
        <f t="shared" si="1"/>
        <v>1</v>
      </c>
      <c r="L31" cm="1">
        <f t="array" ref="L31">_xlfn.IFS(C31="Sat",1,C31="Sun",2,C31="Thur",3,C31="Fri",4)</f>
        <v>1</v>
      </c>
      <c r="M31">
        <f t="shared" si="2"/>
        <v>2</v>
      </c>
      <c r="N31">
        <v>2</v>
      </c>
      <c r="O31">
        <v>19.649999999999999</v>
      </c>
      <c r="P31">
        <v>3</v>
      </c>
    </row>
    <row r="32" spans="1:16" x14ac:dyDescent="0.3">
      <c r="A32" t="s">
        <v>11</v>
      </c>
      <c r="B32" t="s">
        <v>8</v>
      </c>
      <c r="C32" t="s">
        <v>21</v>
      </c>
      <c r="D32" t="s">
        <v>10</v>
      </c>
      <c r="E32">
        <v>2</v>
      </c>
      <c r="F32">
        <v>9.5500000000000007</v>
      </c>
      <c r="G32">
        <v>1.45</v>
      </c>
      <c r="J32">
        <f t="shared" si="0"/>
        <v>1</v>
      </c>
      <c r="K32">
        <f t="shared" si="1"/>
        <v>1</v>
      </c>
      <c r="L32" cm="1">
        <f t="array" ref="L32">_xlfn.IFS(C32="Sat",1,C32="Sun",2,C32="Thur",3,C32="Fri",4)</f>
        <v>1</v>
      </c>
      <c r="M32">
        <f t="shared" si="2"/>
        <v>2</v>
      </c>
      <c r="N32">
        <v>2</v>
      </c>
      <c r="O32">
        <v>9.5500000000000007</v>
      </c>
      <c r="P32">
        <v>1.45</v>
      </c>
    </row>
    <row r="33" spans="1:16" x14ac:dyDescent="0.3">
      <c r="A33" t="s">
        <v>11</v>
      </c>
      <c r="B33" t="s">
        <v>8</v>
      </c>
      <c r="C33" t="s">
        <v>21</v>
      </c>
      <c r="D33" t="s">
        <v>10</v>
      </c>
      <c r="E33">
        <v>4</v>
      </c>
      <c r="F33">
        <v>18.350000000000001</v>
      </c>
      <c r="G33">
        <v>2.5</v>
      </c>
      <c r="J33">
        <f t="shared" si="0"/>
        <v>1</v>
      </c>
      <c r="K33">
        <f t="shared" si="1"/>
        <v>1</v>
      </c>
      <c r="L33" cm="1">
        <f t="array" ref="L33">_xlfn.IFS(C33="Sat",1,C33="Sun",2,C33="Thur",3,C33="Fri",4)</f>
        <v>1</v>
      </c>
      <c r="M33">
        <f t="shared" si="2"/>
        <v>2</v>
      </c>
      <c r="N33">
        <v>4</v>
      </c>
      <c r="O33">
        <v>18.350000000000001</v>
      </c>
      <c r="P33">
        <v>2.5</v>
      </c>
    </row>
    <row r="34" spans="1:16" x14ac:dyDescent="0.3">
      <c r="A34" t="s">
        <v>7</v>
      </c>
      <c r="B34" t="s">
        <v>8</v>
      </c>
      <c r="C34" t="s">
        <v>21</v>
      </c>
      <c r="D34" t="s">
        <v>10</v>
      </c>
      <c r="E34">
        <v>2</v>
      </c>
      <c r="F34">
        <v>15.06</v>
      </c>
      <c r="G34">
        <v>3</v>
      </c>
      <c r="J34">
        <f t="shared" si="0"/>
        <v>2</v>
      </c>
      <c r="K34">
        <f t="shared" si="1"/>
        <v>1</v>
      </c>
      <c r="L34" cm="1">
        <f t="array" ref="L34">_xlfn.IFS(C34="Sat",1,C34="Sun",2,C34="Thur",3,C34="Fri",4)</f>
        <v>1</v>
      </c>
      <c r="M34">
        <f t="shared" si="2"/>
        <v>2</v>
      </c>
      <c r="N34">
        <v>2</v>
      </c>
      <c r="O34">
        <v>15.06</v>
      </c>
      <c r="P34">
        <v>3</v>
      </c>
    </row>
    <row r="35" spans="1:16" x14ac:dyDescent="0.3">
      <c r="A35" t="s">
        <v>7</v>
      </c>
      <c r="B35" t="s">
        <v>8</v>
      </c>
      <c r="C35" t="s">
        <v>21</v>
      </c>
      <c r="D35" t="s">
        <v>10</v>
      </c>
      <c r="E35">
        <v>4</v>
      </c>
      <c r="F35">
        <v>20.69</v>
      </c>
      <c r="G35">
        <v>2.4500000000000002</v>
      </c>
      <c r="J35">
        <f t="shared" si="0"/>
        <v>2</v>
      </c>
      <c r="K35">
        <f t="shared" si="1"/>
        <v>1</v>
      </c>
      <c r="L35" cm="1">
        <f t="array" ref="L35">_xlfn.IFS(C35="Sat",1,C35="Sun",2,C35="Thur",3,C35="Fri",4)</f>
        <v>1</v>
      </c>
      <c r="M35">
        <f t="shared" si="2"/>
        <v>2</v>
      </c>
      <c r="N35">
        <v>4</v>
      </c>
      <c r="O35">
        <v>20.69</v>
      </c>
      <c r="P35">
        <v>2.4500000000000002</v>
      </c>
    </row>
    <row r="36" spans="1:16" x14ac:dyDescent="0.3">
      <c r="A36" t="s">
        <v>11</v>
      </c>
      <c r="B36" t="s">
        <v>8</v>
      </c>
      <c r="C36" t="s">
        <v>21</v>
      </c>
      <c r="D36" t="s">
        <v>10</v>
      </c>
      <c r="E36">
        <v>2</v>
      </c>
      <c r="F36">
        <v>17.78</v>
      </c>
      <c r="G36">
        <v>3.27</v>
      </c>
      <c r="J36">
        <f t="shared" si="0"/>
        <v>1</v>
      </c>
      <c r="K36">
        <f t="shared" si="1"/>
        <v>1</v>
      </c>
      <c r="L36" cm="1">
        <f t="array" ref="L36">_xlfn.IFS(C36="Sat",1,C36="Sun",2,C36="Thur",3,C36="Fri",4)</f>
        <v>1</v>
      </c>
      <c r="M36">
        <f t="shared" si="2"/>
        <v>2</v>
      </c>
      <c r="N36">
        <v>2</v>
      </c>
      <c r="O36">
        <v>17.78</v>
      </c>
      <c r="P36">
        <v>3.27</v>
      </c>
    </row>
    <row r="37" spans="1:16" x14ac:dyDescent="0.3">
      <c r="A37" t="s">
        <v>11</v>
      </c>
      <c r="B37" t="s">
        <v>8</v>
      </c>
      <c r="C37" t="s">
        <v>21</v>
      </c>
      <c r="D37" t="s">
        <v>10</v>
      </c>
      <c r="E37">
        <v>3</v>
      </c>
      <c r="F37">
        <v>24.06</v>
      </c>
      <c r="G37">
        <v>3.6</v>
      </c>
      <c r="J37">
        <f t="shared" si="0"/>
        <v>1</v>
      </c>
      <c r="K37">
        <f t="shared" si="1"/>
        <v>1</v>
      </c>
      <c r="L37" cm="1">
        <f t="array" ref="L37">_xlfn.IFS(C37="Sat",1,C37="Sun",2,C37="Thur",3,C37="Fri",4)</f>
        <v>1</v>
      </c>
      <c r="M37">
        <f t="shared" si="2"/>
        <v>2</v>
      </c>
      <c r="N37">
        <v>3</v>
      </c>
      <c r="O37">
        <v>24.06</v>
      </c>
      <c r="P37">
        <v>3.6</v>
      </c>
    </row>
    <row r="38" spans="1:16" x14ac:dyDescent="0.3">
      <c r="A38" t="s">
        <v>11</v>
      </c>
      <c r="B38" t="s">
        <v>8</v>
      </c>
      <c r="C38" t="s">
        <v>21</v>
      </c>
      <c r="D38" t="s">
        <v>10</v>
      </c>
      <c r="E38">
        <v>3</v>
      </c>
      <c r="F38">
        <v>16.309999999999999</v>
      </c>
      <c r="G38">
        <v>2</v>
      </c>
      <c r="J38">
        <f t="shared" si="0"/>
        <v>1</v>
      </c>
      <c r="K38">
        <f t="shared" si="1"/>
        <v>1</v>
      </c>
      <c r="L38" cm="1">
        <f t="array" ref="L38">_xlfn.IFS(C38="Sat",1,C38="Sun",2,C38="Thur",3,C38="Fri",4)</f>
        <v>1</v>
      </c>
      <c r="M38">
        <f t="shared" si="2"/>
        <v>2</v>
      </c>
      <c r="N38">
        <v>3</v>
      </c>
      <c r="O38">
        <v>16.309999999999999</v>
      </c>
      <c r="P38">
        <v>2</v>
      </c>
    </row>
    <row r="39" spans="1:16" x14ac:dyDescent="0.3">
      <c r="A39" t="s">
        <v>7</v>
      </c>
      <c r="B39" t="s">
        <v>8</v>
      </c>
      <c r="C39" t="s">
        <v>21</v>
      </c>
      <c r="D39" t="s">
        <v>10</v>
      </c>
      <c r="E39">
        <v>3</v>
      </c>
      <c r="F39">
        <v>16.93</v>
      </c>
      <c r="G39">
        <v>3.07</v>
      </c>
      <c r="J39">
        <f t="shared" si="0"/>
        <v>2</v>
      </c>
      <c r="K39">
        <f t="shared" si="1"/>
        <v>1</v>
      </c>
      <c r="L39" cm="1">
        <f t="array" ref="L39">_xlfn.IFS(C39="Sat",1,C39="Sun",2,C39="Thur",3,C39="Fri",4)</f>
        <v>1</v>
      </c>
      <c r="M39">
        <f t="shared" si="2"/>
        <v>2</v>
      </c>
      <c r="N39">
        <v>3</v>
      </c>
      <c r="O39">
        <v>16.93</v>
      </c>
      <c r="P39">
        <v>3.07</v>
      </c>
    </row>
    <row r="40" spans="1:16" x14ac:dyDescent="0.3">
      <c r="A40" t="s">
        <v>11</v>
      </c>
      <c r="B40" t="s">
        <v>8</v>
      </c>
      <c r="C40" t="s">
        <v>21</v>
      </c>
      <c r="D40" t="s">
        <v>10</v>
      </c>
      <c r="E40">
        <v>3</v>
      </c>
      <c r="F40">
        <v>18.690000000000001</v>
      </c>
      <c r="G40">
        <v>2.31</v>
      </c>
      <c r="J40">
        <f t="shared" si="0"/>
        <v>1</v>
      </c>
      <c r="K40">
        <f t="shared" si="1"/>
        <v>1</v>
      </c>
      <c r="L40" cm="1">
        <f t="array" ref="L40">_xlfn.IFS(C40="Sat",1,C40="Sun",2,C40="Thur",3,C40="Fri",4)</f>
        <v>1</v>
      </c>
      <c r="M40">
        <f t="shared" si="2"/>
        <v>2</v>
      </c>
      <c r="N40">
        <v>3</v>
      </c>
      <c r="O40">
        <v>18.690000000000001</v>
      </c>
      <c r="P40">
        <v>2.31</v>
      </c>
    </row>
    <row r="41" spans="1:16" x14ac:dyDescent="0.3">
      <c r="A41" t="s">
        <v>11</v>
      </c>
      <c r="B41" t="s">
        <v>8</v>
      </c>
      <c r="C41" t="s">
        <v>21</v>
      </c>
      <c r="D41" t="s">
        <v>10</v>
      </c>
      <c r="E41">
        <v>3</v>
      </c>
      <c r="F41">
        <v>31.27</v>
      </c>
      <c r="G41">
        <v>5</v>
      </c>
      <c r="J41">
        <f t="shared" si="0"/>
        <v>1</v>
      </c>
      <c r="K41">
        <f t="shared" si="1"/>
        <v>1</v>
      </c>
      <c r="L41" cm="1">
        <f t="array" ref="L41">_xlfn.IFS(C41="Sat",1,C41="Sun",2,C41="Thur",3,C41="Fri",4)</f>
        <v>1</v>
      </c>
      <c r="M41">
        <f t="shared" si="2"/>
        <v>2</v>
      </c>
      <c r="N41">
        <v>3</v>
      </c>
      <c r="O41">
        <v>31.27</v>
      </c>
      <c r="P41">
        <v>5</v>
      </c>
    </row>
    <row r="42" spans="1:16" x14ac:dyDescent="0.3">
      <c r="A42" t="s">
        <v>11</v>
      </c>
      <c r="B42" t="s">
        <v>8</v>
      </c>
      <c r="C42" t="s">
        <v>21</v>
      </c>
      <c r="D42" t="s">
        <v>10</v>
      </c>
      <c r="E42">
        <v>3</v>
      </c>
      <c r="F42">
        <v>16.04</v>
      </c>
      <c r="G42">
        <v>2.2400000000000002</v>
      </c>
      <c r="J42">
        <f t="shared" si="0"/>
        <v>1</v>
      </c>
      <c r="K42">
        <f t="shared" si="1"/>
        <v>1</v>
      </c>
      <c r="L42" cm="1">
        <f t="array" ref="L42">_xlfn.IFS(C42="Sat",1,C42="Sun",2,C42="Thur",3,C42="Fri",4)</f>
        <v>1</v>
      </c>
      <c r="M42">
        <f t="shared" si="2"/>
        <v>2</v>
      </c>
      <c r="N42">
        <v>3</v>
      </c>
      <c r="O42">
        <v>16.04</v>
      </c>
      <c r="P42">
        <v>2.2400000000000002</v>
      </c>
    </row>
    <row r="43" spans="1:16" x14ac:dyDescent="0.3">
      <c r="A43" t="s">
        <v>11</v>
      </c>
      <c r="B43" t="s">
        <v>8</v>
      </c>
      <c r="C43" t="s">
        <v>9</v>
      </c>
      <c r="D43" t="s">
        <v>10</v>
      </c>
      <c r="E43">
        <v>2</v>
      </c>
      <c r="F43">
        <v>17.46</v>
      </c>
      <c r="G43">
        <v>2.54</v>
      </c>
      <c r="J43">
        <f t="shared" si="0"/>
        <v>1</v>
      </c>
      <c r="K43">
        <f t="shared" si="1"/>
        <v>1</v>
      </c>
      <c r="L43" cm="1">
        <f t="array" ref="L43">_xlfn.IFS(C43="Sat",1,C43="Sun",2,C43="Thur",3,C43="Fri",4)</f>
        <v>2</v>
      </c>
      <c r="M43">
        <f t="shared" si="2"/>
        <v>2</v>
      </c>
      <c r="N43">
        <v>2</v>
      </c>
      <c r="O43">
        <v>17.46</v>
      </c>
      <c r="P43">
        <v>2.54</v>
      </c>
    </row>
    <row r="44" spans="1:16" x14ac:dyDescent="0.3">
      <c r="A44" t="s">
        <v>11</v>
      </c>
      <c r="B44" t="s">
        <v>8</v>
      </c>
      <c r="C44" t="s">
        <v>9</v>
      </c>
      <c r="D44" t="s">
        <v>10</v>
      </c>
      <c r="E44">
        <v>2</v>
      </c>
      <c r="F44">
        <v>13.94</v>
      </c>
      <c r="G44">
        <v>3.06</v>
      </c>
      <c r="J44">
        <f t="shared" si="0"/>
        <v>1</v>
      </c>
      <c r="K44">
        <f t="shared" si="1"/>
        <v>1</v>
      </c>
      <c r="L44" cm="1">
        <f t="array" ref="L44">_xlfn.IFS(C44="Sat",1,C44="Sun",2,C44="Thur",3,C44="Fri",4)</f>
        <v>2</v>
      </c>
      <c r="M44">
        <f t="shared" si="2"/>
        <v>2</v>
      </c>
      <c r="N44">
        <v>2</v>
      </c>
      <c r="O44">
        <v>13.94</v>
      </c>
      <c r="P44">
        <v>3.06</v>
      </c>
    </row>
    <row r="45" spans="1:16" x14ac:dyDescent="0.3">
      <c r="A45" t="s">
        <v>11</v>
      </c>
      <c r="B45" t="s">
        <v>8</v>
      </c>
      <c r="C45" t="s">
        <v>9</v>
      </c>
      <c r="D45" t="s">
        <v>10</v>
      </c>
      <c r="E45">
        <v>2</v>
      </c>
      <c r="F45">
        <v>9.68</v>
      </c>
      <c r="G45">
        <v>1.32</v>
      </c>
      <c r="J45">
        <f t="shared" si="0"/>
        <v>1</v>
      </c>
      <c r="K45">
        <f t="shared" si="1"/>
        <v>1</v>
      </c>
      <c r="L45" cm="1">
        <f t="array" ref="L45">_xlfn.IFS(C45="Sat",1,C45="Sun",2,C45="Thur",3,C45="Fri",4)</f>
        <v>2</v>
      </c>
      <c r="M45">
        <f t="shared" si="2"/>
        <v>2</v>
      </c>
      <c r="N45">
        <v>2</v>
      </c>
      <c r="O45">
        <v>9.68</v>
      </c>
      <c r="P45">
        <v>1.32</v>
      </c>
    </row>
    <row r="46" spans="1:16" x14ac:dyDescent="0.3">
      <c r="A46" t="s">
        <v>11</v>
      </c>
      <c r="B46" t="s">
        <v>8</v>
      </c>
      <c r="C46" t="s">
        <v>9</v>
      </c>
      <c r="D46" t="s">
        <v>10</v>
      </c>
      <c r="E46">
        <v>4</v>
      </c>
      <c r="F46">
        <v>30.4</v>
      </c>
      <c r="G46">
        <v>5.6</v>
      </c>
      <c r="J46">
        <f t="shared" si="0"/>
        <v>1</v>
      </c>
      <c r="K46">
        <f t="shared" si="1"/>
        <v>1</v>
      </c>
      <c r="L46" cm="1">
        <f t="array" ref="L46">_xlfn.IFS(C46="Sat",1,C46="Sun",2,C46="Thur",3,C46="Fri",4)</f>
        <v>2</v>
      </c>
      <c r="M46">
        <f t="shared" si="2"/>
        <v>2</v>
      </c>
      <c r="N46">
        <v>4</v>
      </c>
      <c r="O46">
        <v>30.4</v>
      </c>
      <c r="P46">
        <v>5.6</v>
      </c>
    </row>
    <row r="47" spans="1:16" x14ac:dyDescent="0.3">
      <c r="A47" t="s">
        <v>11</v>
      </c>
      <c r="B47" t="s">
        <v>8</v>
      </c>
      <c r="C47" t="s">
        <v>9</v>
      </c>
      <c r="D47" t="s">
        <v>10</v>
      </c>
      <c r="E47">
        <v>2</v>
      </c>
      <c r="F47">
        <v>18.29</v>
      </c>
      <c r="G47">
        <v>3</v>
      </c>
      <c r="J47">
        <f t="shared" si="0"/>
        <v>1</v>
      </c>
      <c r="K47">
        <f t="shared" si="1"/>
        <v>1</v>
      </c>
      <c r="L47" cm="1">
        <f t="array" ref="L47">_xlfn.IFS(C47="Sat",1,C47="Sun",2,C47="Thur",3,C47="Fri",4)</f>
        <v>2</v>
      </c>
      <c r="M47">
        <f t="shared" si="2"/>
        <v>2</v>
      </c>
      <c r="N47">
        <v>2</v>
      </c>
      <c r="O47">
        <v>18.29</v>
      </c>
      <c r="P47">
        <v>3</v>
      </c>
    </row>
    <row r="48" spans="1:16" x14ac:dyDescent="0.3">
      <c r="A48" t="s">
        <v>11</v>
      </c>
      <c r="B48" t="s">
        <v>8</v>
      </c>
      <c r="C48" t="s">
        <v>9</v>
      </c>
      <c r="D48" t="s">
        <v>10</v>
      </c>
      <c r="E48">
        <v>2</v>
      </c>
      <c r="F48">
        <v>22.23</v>
      </c>
      <c r="G48">
        <v>5</v>
      </c>
      <c r="J48">
        <f t="shared" si="0"/>
        <v>1</v>
      </c>
      <c r="K48">
        <f t="shared" si="1"/>
        <v>1</v>
      </c>
      <c r="L48" cm="1">
        <f t="array" ref="L48">_xlfn.IFS(C48="Sat",1,C48="Sun",2,C48="Thur",3,C48="Fri",4)</f>
        <v>2</v>
      </c>
      <c r="M48">
        <f t="shared" si="2"/>
        <v>2</v>
      </c>
      <c r="N48">
        <v>2</v>
      </c>
      <c r="O48">
        <v>22.23</v>
      </c>
      <c r="P48">
        <v>5</v>
      </c>
    </row>
    <row r="49" spans="1:16" x14ac:dyDescent="0.3">
      <c r="A49" t="s">
        <v>11</v>
      </c>
      <c r="B49" t="s">
        <v>8</v>
      </c>
      <c r="C49" t="s">
        <v>9</v>
      </c>
      <c r="D49" t="s">
        <v>10</v>
      </c>
      <c r="E49">
        <v>4</v>
      </c>
      <c r="F49">
        <v>32.4</v>
      </c>
      <c r="G49">
        <v>6</v>
      </c>
      <c r="J49">
        <f t="shared" si="0"/>
        <v>1</v>
      </c>
      <c r="K49">
        <f t="shared" si="1"/>
        <v>1</v>
      </c>
      <c r="L49" cm="1">
        <f t="array" ref="L49">_xlfn.IFS(C49="Sat",1,C49="Sun",2,C49="Thur",3,C49="Fri",4)</f>
        <v>2</v>
      </c>
      <c r="M49">
        <f t="shared" si="2"/>
        <v>2</v>
      </c>
      <c r="N49">
        <v>4</v>
      </c>
      <c r="O49">
        <v>32.4</v>
      </c>
      <c r="P49">
        <v>6</v>
      </c>
    </row>
    <row r="50" spans="1:16" x14ac:dyDescent="0.3">
      <c r="A50" t="s">
        <v>11</v>
      </c>
      <c r="B50" t="s">
        <v>8</v>
      </c>
      <c r="C50" t="s">
        <v>9</v>
      </c>
      <c r="D50" t="s">
        <v>10</v>
      </c>
      <c r="E50">
        <v>3</v>
      </c>
      <c r="F50">
        <v>28.55</v>
      </c>
      <c r="G50">
        <v>2.0499999999999998</v>
      </c>
      <c r="J50">
        <f t="shared" si="0"/>
        <v>1</v>
      </c>
      <c r="K50">
        <f t="shared" si="1"/>
        <v>1</v>
      </c>
      <c r="L50" cm="1">
        <f t="array" ref="L50">_xlfn.IFS(C50="Sat",1,C50="Sun",2,C50="Thur",3,C50="Fri",4)</f>
        <v>2</v>
      </c>
      <c r="M50">
        <f t="shared" si="2"/>
        <v>2</v>
      </c>
      <c r="N50">
        <v>3</v>
      </c>
      <c r="O50">
        <v>28.55</v>
      </c>
      <c r="P50">
        <v>2.0499999999999998</v>
      </c>
    </row>
    <row r="51" spans="1:16" x14ac:dyDescent="0.3">
      <c r="A51" t="s">
        <v>11</v>
      </c>
      <c r="B51" t="s">
        <v>8</v>
      </c>
      <c r="C51" t="s">
        <v>9</v>
      </c>
      <c r="D51" t="s">
        <v>10</v>
      </c>
      <c r="E51">
        <v>2</v>
      </c>
      <c r="F51">
        <v>18.04</v>
      </c>
      <c r="G51">
        <v>3</v>
      </c>
      <c r="J51">
        <f t="shared" si="0"/>
        <v>1</v>
      </c>
      <c r="K51">
        <f t="shared" si="1"/>
        <v>1</v>
      </c>
      <c r="L51" cm="1">
        <f t="array" ref="L51">_xlfn.IFS(C51="Sat",1,C51="Sun",2,C51="Thur",3,C51="Fri",4)</f>
        <v>2</v>
      </c>
      <c r="M51">
        <f t="shared" si="2"/>
        <v>2</v>
      </c>
      <c r="N51">
        <v>2</v>
      </c>
      <c r="O51">
        <v>18.04</v>
      </c>
      <c r="P51">
        <v>3</v>
      </c>
    </row>
    <row r="52" spans="1:16" x14ac:dyDescent="0.3">
      <c r="A52" t="s">
        <v>11</v>
      </c>
      <c r="B52" t="s">
        <v>8</v>
      </c>
      <c r="C52" t="s">
        <v>9</v>
      </c>
      <c r="D52" t="s">
        <v>10</v>
      </c>
      <c r="E52">
        <v>2</v>
      </c>
      <c r="F52">
        <v>12.54</v>
      </c>
      <c r="G52">
        <v>2.5</v>
      </c>
      <c r="J52">
        <f t="shared" si="0"/>
        <v>1</v>
      </c>
      <c r="K52">
        <f t="shared" si="1"/>
        <v>1</v>
      </c>
      <c r="L52" cm="1">
        <f t="array" ref="L52">_xlfn.IFS(C52="Sat",1,C52="Sun",2,C52="Thur",3,C52="Fri",4)</f>
        <v>2</v>
      </c>
      <c r="M52">
        <f t="shared" si="2"/>
        <v>2</v>
      </c>
      <c r="N52">
        <v>2</v>
      </c>
      <c r="O52">
        <v>12.54</v>
      </c>
      <c r="P52">
        <v>2.5</v>
      </c>
    </row>
    <row r="53" spans="1:16" x14ac:dyDescent="0.3">
      <c r="A53" t="s">
        <v>7</v>
      </c>
      <c r="B53" t="s">
        <v>8</v>
      </c>
      <c r="C53" t="s">
        <v>9</v>
      </c>
      <c r="D53" t="s">
        <v>10</v>
      </c>
      <c r="E53">
        <v>2</v>
      </c>
      <c r="F53">
        <v>10.29</v>
      </c>
      <c r="G53">
        <v>2.6</v>
      </c>
      <c r="J53">
        <f t="shared" si="0"/>
        <v>2</v>
      </c>
      <c r="K53">
        <f t="shared" si="1"/>
        <v>1</v>
      </c>
      <c r="L53" cm="1">
        <f t="array" ref="L53">_xlfn.IFS(C53="Sat",1,C53="Sun",2,C53="Thur",3,C53="Fri",4)</f>
        <v>2</v>
      </c>
      <c r="M53">
        <f t="shared" si="2"/>
        <v>2</v>
      </c>
      <c r="N53">
        <v>2</v>
      </c>
      <c r="O53">
        <v>10.29</v>
      </c>
      <c r="P53">
        <v>2.6</v>
      </c>
    </row>
    <row r="54" spans="1:16" x14ac:dyDescent="0.3">
      <c r="A54" t="s">
        <v>7</v>
      </c>
      <c r="B54" t="s">
        <v>8</v>
      </c>
      <c r="C54" t="s">
        <v>9</v>
      </c>
      <c r="D54" t="s">
        <v>10</v>
      </c>
      <c r="E54">
        <v>4</v>
      </c>
      <c r="F54">
        <v>34.81</v>
      </c>
      <c r="G54">
        <v>5.2</v>
      </c>
      <c r="J54">
        <f t="shared" si="0"/>
        <v>2</v>
      </c>
      <c r="K54">
        <f t="shared" si="1"/>
        <v>1</v>
      </c>
      <c r="L54" cm="1">
        <f t="array" ref="L54">_xlfn.IFS(C54="Sat",1,C54="Sun",2,C54="Thur",3,C54="Fri",4)</f>
        <v>2</v>
      </c>
      <c r="M54">
        <f t="shared" si="2"/>
        <v>2</v>
      </c>
      <c r="N54">
        <v>4</v>
      </c>
      <c r="O54">
        <v>34.81</v>
      </c>
      <c r="P54">
        <v>5.2</v>
      </c>
    </row>
    <row r="55" spans="1:16" x14ac:dyDescent="0.3">
      <c r="A55" t="s">
        <v>11</v>
      </c>
      <c r="B55" t="s">
        <v>8</v>
      </c>
      <c r="C55" t="s">
        <v>9</v>
      </c>
      <c r="D55" t="s">
        <v>10</v>
      </c>
      <c r="E55">
        <v>2</v>
      </c>
      <c r="F55">
        <v>9.94</v>
      </c>
      <c r="G55">
        <v>1.56</v>
      </c>
      <c r="J55">
        <f t="shared" si="0"/>
        <v>1</v>
      </c>
      <c r="K55">
        <f t="shared" si="1"/>
        <v>1</v>
      </c>
      <c r="L55" cm="1">
        <f t="array" ref="L55">_xlfn.IFS(C55="Sat",1,C55="Sun",2,C55="Thur",3,C55="Fri",4)</f>
        <v>2</v>
      </c>
      <c r="M55">
        <f t="shared" si="2"/>
        <v>2</v>
      </c>
      <c r="N55">
        <v>2</v>
      </c>
      <c r="O55">
        <v>9.94</v>
      </c>
      <c r="P55">
        <v>1.56</v>
      </c>
    </row>
    <row r="56" spans="1:16" x14ac:dyDescent="0.3">
      <c r="A56" t="s">
        <v>11</v>
      </c>
      <c r="B56" t="s">
        <v>8</v>
      </c>
      <c r="C56" t="s">
        <v>9</v>
      </c>
      <c r="D56" t="s">
        <v>10</v>
      </c>
      <c r="E56">
        <v>4</v>
      </c>
      <c r="F56">
        <v>25.56</v>
      </c>
      <c r="G56">
        <v>4.34</v>
      </c>
      <c r="J56">
        <f t="shared" si="0"/>
        <v>1</v>
      </c>
      <c r="K56">
        <f t="shared" si="1"/>
        <v>1</v>
      </c>
      <c r="L56" cm="1">
        <f t="array" ref="L56">_xlfn.IFS(C56="Sat",1,C56="Sun",2,C56="Thur",3,C56="Fri",4)</f>
        <v>2</v>
      </c>
      <c r="M56">
        <f t="shared" si="2"/>
        <v>2</v>
      </c>
      <c r="N56">
        <v>4</v>
      </c>
      <c r="O56">
        <v>25.56</v>
      </c>
      <c r="P56">
        <v>4.34</v>
      </c>
    </row>
    <row r="57" spans="1:16" x14ac:dyDescent="0.3">
      <c r="A57" t="s">
        <v>11</v>
      </c>
      <c r="B57" t="s">
        <v>8</v>
      </c>
      <c r="C57" t="s">
        <v>9</v>
      </c>
      <c r="D57" t="s">
        <v>10</v>
      </c>
      <c r="E57">
        <v>2</v>
      </c>
      <c r="F57">
        <v>19.489999999999998</v>
      </c>
      <c r="G57">
        <v>3.51</v>
      </c>
      <c r="J57">
        <f t="shared" si="0"/>
        <v>1</v>
      </c>
      <c r="K57">
        <f t="shared" si="1"/>
        <v>1</v>
      </c>
      <c r="L57" cm="1">
        <f t="array" ref="L57">_xlfn.IFS(C57="Sat",1,C57="Sun",2,C57="Thur",3,C57="Fri",4)</f>
        <v>2</v>
      </c>
      <c r="M57">
        <f t="shared" si="2"/>
        <v>2</v>
      </c>
      <c r="N57">
        <v>2</v>
      </c>
      <c r="O57">
        <v>19.489999999999998</v>
      </c>
      <c r="P57">
        <v>3.51</v>
      </c>
    </row>
    <row r="58" spans="1:16" x14ac:dyDescent="0.3">
      <c r="A58" t="s">
        <v>11</v>
      </c>
      <c r="B58" t="s">
        <v>22</v>
      </c>
      <c r="C58" t="s">
        <v>21</v>
      </c>
      <c r="D58" t="s">
        <v>10</v>
      </c>
      <c r="E58">
        <v>4</v>
      </c>
      <c r="F58">
        <v>38.01</v>
      </c>
      <c r="G58">
        <v>3</v>
      </c>
      <c r="J58">
        <f t="shared" si="0"/>
        <v>1</v>
      </c>
      <c r="K58">
        <f t="shared" si="1"/>
        <v>2</v>
      </c>
      <c r="L58" cm="1">
        <f t="array" ref="L58">_xlfn.IFS(C58="Sat",1,C58="Sun",2,C58="Thur",3,C58="Fri",4)</f>
        <v>1</v>
      </c>
      <c r="M58">
        <f t="shared" si="2"/>
        <v>2</v>
      </c>
      <c r="N58">
        <v>4</v>
      </c>
      <c r="O58">
        <v>38.01</v>
      </c>
      <c r="P58">
        <v>3</v>
      </c>
    </row>
    <row r="59" spans="1:16" x14ac:dyDescent="0.3">
      <c r="A59" t="s">
        <v>7</v>
      </c>
      <c r="B59" t="s">
        <v>8</v>
      </c>
      <c r="C59" t="s">
        <v>21</v>
      </c>
      <c r="D59" t="s">
        <v>10</v>
      </c>
      <c r="E59">
        <v>2</v>
      </c>
      <c r="F59">
        <v>26.41</v>
      </c>
      <c r="G59">
        <v>1.5</v>
      </c>
      <c r="J59">
        <f t="shared" si="0"/>
        <v>2</v>
      </c>
      <c r="K59">
        <f t="shared" si="1"/>
        <v>1</v>
      </c>
      <c r="L59" cm="1">
        <f t="array" ref="L59">_xlfn.IFS(C59="Sat",1,C59="Sun",2,C59="Thur",3,C59="Fri",4)</f>
        <v>1</v>
      </c>
      <c r="M59">
        <f t="shared" si="2"/>
        <v>2</v>
      </c>
      <c r="N59">
        <v>2</v>
      </c>
      <c r="O59">
        <v>26.41</v>
      </c>
      <c r="P59">
        <v>1.5</v>
      </c>
    </row>
    <row r="60" spans="1:16" x14ac:dyDescent="0.3">
      <c r="A60" t="s">
        <v>11</v>
      </c>
      <c r="B60" t="s">
        <v>22</v>
      </c>
      <c r="C60" t="s">
        <v>21</v>
      </c>
      <c r="D60" t="s">
        <v>10</v>
      </c>
      <c r="E60">
        <v>2</v>
      </c>
      <c r="F60">
        <v>11.24</v>
      </c>
      <c r="G60">
        <v>1.76</v>
      </c>
      <c r="J60">
        <f t="shared" si="0"/>
        <v>1</v>
      </c>
      <c r="K60">
        <f t="shared" si="1"/>
        <v>2</v>
      </c>
      <c r="L60" cm="1">
        <f t="array" ref="L60">_xlfn.IFS(C60="Sat",1,C60="Sun",2,C60="Thur",3,C60="Fri",4)</f>
        <v>1</v>
      </c>
      <c r="M60">
        <f t="shared" si="2"/>
        <v>2</v>
      </c>
      <c r="N60">
        <v>2</v>
      </c>
      <c r="O60">
        <v>11.24</v>
      </c>
      <c r="P60">
        <v>1.76</v>
      </c>
    </row>
    <row r="61" spans="1:16" x14ac:dyDescent="0.3">
      <c r="A61" t="s">
        <v>11</v>
      </c>
      <c r="B61" t="s">
        <v>8</v>
      </c>
      <c r="C61" t="s">
        <v>21</v>
      </c>
      <c r="D61" t="s">
        <v>10</v>
      </c>
      <c r="E61">
        <v>4</v>
      </c>
      <c r="F61">
        <v>48.27</v>
      </c>
      <c r="G61">
        <v>6.73</v>
      </c>
      <c r="J61">
        <f t="shared" si="0"/>
        <v>1</v>
      </c>
      <c r="K61">
        <f t="shared" si="1"/>
        <v>1</v>
      </c>
      <c r="L61" cm="1">
        <f t="array" ref="L61">_xlfn.IFS(C61="Sat",1,C61="Sun",2,C61="Thur",3,C61="Fri",4)</f>
        <v>1</v>
      </c>
      <c r="M61">
        <f t="shared" si="2"/>
        <v>2</v>
      </c>
      <c r="N61">
        <v>4</v>
      </c>
      <c r="O61">
        <v>48.27</v>
      </c>
      <c r="P61">
        <v>6.73</v>
      </c>
    </row>
    <row r="62" spans="1:16" x14ac:dyDescent="0.3">
      <c r="A62" t="s">
        <v>11</v>
      </c>
      <c r="B62" t="s">
        <v>22</v>
      </c>
      <c r="C62" t="s">
        <v>21</v>
      </c>
      <c r="D62" t="s">
        <v>10</v>
      </c>
      <c r="E62">
        <v>2</v>
      </c>
      <c r="F62">
        <v>20.29</v>
      </c>
      <c r="G62">
        <v>3.21</v>
      </c>
      <c r="J62">
        <f t="shared" si="0"/>
        <v>1</v>
      </c>
      <c r="K62">
        <f t="shared" si="1"/>
        <v>2</v>
      </c>
      <c r="L62" cm="1">
        <f t="array" ref="L62">_xlfn.IFS(C62="Sat",1,C62="Sun",2,C62="Thur",3,C62="Fri",4)</f>
        <v>1</v>
      </c>
      <c r="M62">
        <f t="shared" si="2"/>
        <v>2</v>
      </c>
      <c r="N62">
        <v>2</v>
      </c>
      <c r="O62">
        <v>20.29</v>
      </c>
      <c r="P62">
        <v>3.21</v>
      </c>
    </row>
    <row r="63" spans="1:16" x14ac:dyDescent="0.3">
      <c r="A63" t="s">
        <v>11</v>
      </c>
      <c r="B63" t="s">
        <v>22</v>
      </c>
      <c r="C63" t="s">
        <v>21</v>
      </c>
      <c r="D63" t="s">
        <v>10</v>
      </c>
      <c r="E63">
        <v>2</v>
      </c>
      <c r="F63">
        <v>13.81</v>
      </c>
      <c r="G63">
        <v>2</v>
      </c>
      <c r="J63">
        <f t="shared" si="0"/>
        <v>1</v>
      </c>
      <c r="K63">
        <f t="shared" si="1"/>
        <v>2</v>
      </c>
      <c r="L63" cm="1">
        <f t="array" ref="L63">_xlfn.IFS(C63="Sat",1,C63="Sun",2,C63="Thur",3,C63="Fri",4)</f>
        <v>1</v>
      </c>
      <c r="M63">
        <f t="shared" si="2"/>
        <v>2</v>
      </c>
      <c r="N63">
        <v>2</v>
      </c>
      <c r="O63">
        <v>13.81</v>
      </c>
      <c r="P63">
        <v>2</v>
      </c>
    </row>
    <row r="64" spans="1:16" x14ac:dyDescent="0.3">
      <c r="A64" t="s">
        <v>11</v>
      </c>
      <c r="B64" t="s">
        <v>22</v>
      </c>
      <c r="C64" t="s">
        <v>21</v>
      </c>
      <c r="D64" t="s">
        <v>10</v>
      </c>
      <c r="E64">
        <v>2</v>
      </c>
      <c r="F64">
        <v>11.02</v>
      </c>
      <c r="G64">
        <v>1.98</v>
      </c>
      <c r="J64">
        <f t="shared" si="0"/>
        <v>1</v>
      </c>
      <c r="K64">
        <f t="shared" si="1"/>
        <v>2</v>
      </c>
      <c r="L64" cm="1">
        <f t="array" ref="L64">_xlfn.IFS(C64="Sat",1,C64="Sun",2,C64="Thur",3,C64="Fri",4)</f>
        <v>1</v>
      </c>
      <c r="M64">
        <f t="shared" si="2"/>
        <v>2</v>
      </c>
      <c r="N64">
        <v>2</v>
      </c>
      <c r="O64">
        <v>11.02</v>
      </c>
      <c r="P64">
        <v>1.98</v>
      </c>
    </row>
    <row r="65" spans="1:16" x14ac:dyDescent="0.3">
      <c r="A65" t="s">
        <v>11</v>
      </c>
      <c r="B65" t="s">
        <v>22</v>
      </c>
      <c r="C65" t="s">
        <v>21</v>
      </c>
      <c r="D65" t="s">
        <v>10</v>
      </c>
      <c r="E65">
        <v>4</v>
      </c>
      <c r="F65">
        <v>18.29</v>
      </c>
      <c r="G65">
        <v>3.76</v>
      </c>
      <c r="J65">
        <f t="shared" si="0"/>
        <v>1</v>
      </c>
      <c r="K65">
        <f t="shared" si="1"/>
        <v>2</v>
      </c>
      <c r="L65" cm="1">
        <f t="array" ref="L65">_xlfn.IFS(C65="Sat",1,C65="Sun",2,C65="Thur",3,C65="Fri",4)</f>
        <v>1</v>
      </c>
      <c r="M65">
        <f t="shared" si="2"/>
        <v>2</v>
      </c>
      <c r="N65">
        <v>4</v>
      </c>
      <c r="O65">
        <v>18.29</v>
      </c>
      <c r="P65">
        <v>3.76</v>
      </c>
    </row>
    <row r="66" spans="1:16" x14ac:dyDescent="0.3">
      <c r="A66" t="s">
        <v>11</v>
      </c>
      <c r="B66" t="s">
        <v>8</v>
      </c>
      <c r="C66" t="s">
        <v>21</v>
      </c>
      <c r="D66" t="s">
        <v>10</v>
      </c>
      <c r="E66">
        <v>3</v>
      </c>
      <c r="F66">
        <v>17.59</v>
      </c>
      <c r="G66">
        <v>2.64</v>
      </c>
      <c r="J66">
        <f t="shared" si="0"/>
        <v>1</v>
      </c>
      <c r="K66">
        <f t="shared" si="1"/>
        <v>1</v>
      </c>
      <c r="L66" cm="1">
        <f t="array" ref="L66">_xlfn.IFS(C66="Sat",1,C66="Sun",2,C66="Thur",3,C66="Fri",4)</f>
        <v>1</v>
      </c>
      <c r="M66">
        <f t="shared" si="2"/>
        <v>2</v>
      </c>
      <c r="N66">
        <v>3</v>
      </c>
      <c r="O66">
        <v>17.59</v>
      </c>
      <c r="P66">
        <v>2.64</v>
      </c>
    </row>
    <row r="67" spans="1:16" x14ac:dyDescent="0.3">
      <c r="A67" t="s">
        <v>11</v>
      </c>
      <c r="B67" t="s">
        <v>8</v>
      </c>
      <c r="C67" t="s">
        <v>21</v>
      </c>
      <c r="D67" t="s">
        <v>10</v>
      </c>
      <c r="E67">
        <v>3</v>
      </c>
      <c r="F67">
        <v>20.079999999999998</v>
      </c>
      <c r="G67">
        <v>3.15</v>
      </c>
      <c r="J67">
        <f t="shared" ref="J67:J130" si="3">IF(A67 = "Female",2,1)</f>
        <v>1</v>
      </c>
      <c r="K67">
        <f t="shared" ref="K67:K130" si="4">IF(B67="No",1,2)</f>
        <v>1</v>
      </c>
      <c r="L67" cm="1">
        <f t="array" ref="L67">_xlfn.IFS(C67="Sat",1,C67="Sun",2,C67="Thur",3,C67="Fri",4)</f>
        <v>1</v>
      </c>
      <c r="M67">
        <f t="shared" ref="M67:M130" si="5">IF(D67="Lunch",1,2)</f>
        <v>2</v>
      </c>
      <c r="N67">
        <v>3</v>
      </c>
      <c r="O67">
        <v>20.079999999999998</v>
      </c>
      <c r="P67">
        <v>3.15</v>
      </c>
    </row>
    <row r="68" spans="1:16" x14ac:dyDescent="0.3">
      <c r="A68" t="s">
        <v>7</v>
      </c>
      <c r="B68" t="s">
        <v>8</v>
      </c>
      <c r="C68" t="s">
        <v>21</v>
      </c>
      <c r="D68" t="s">
        <v>10</v>
      </c>
      <c r="E68">
        <v>2</v>
      </c>
      <c r="F68">
        <v>16.45</v>
      </c>
      <c r="G68">
        <v>2.4700000000000002</v>
      </c>
      <c r="J68">
        <f t="shared" si="3"/>
        <v>2</v>
      </c>
      <c r="K68">
        <f t="shared" si="4"/>
        <v>1</v>
      </c>
      <c r="L68" cm="1">
        <f t="array" ref="L68">_xlfn.IFS(C68="Sat",1,C68="Sun",2,C68="Thur",3,C68="Fri",4)</f>
        <v>1</v>
      </c>
      <c r="M68">
        <f t="shared" si="5"/>
        <v>2</v>
      </c>
      <c r="N68">
        <v>2</v>
      </c>
      <c r="O68">
        <v>16.45</v>
      </c>
      <c r="P68">
        <v>2.4700000000000002</v>
      </c>
    </row>
    <row r="69" spans="1:16" x14ac:dyDescent="0.3">
      <c r="A69" t="s">
        <v>7</v>
      </c>
      <c r="B69" t="s">
        <v>22</v>
      </c>
      <c r="C69" t="s">
        <v>21</v>
      </c>
      <c r="D69" t="s">
        <v>10</v>
      </c>
      <c r="E69">
        <v>1</v>
      </c>
      <c r="F69">
        <v>3.07</v>
      </c>
      <c r="G69">
        <v>1</v>
      </c>
      <c r="J69">
        <f t="shared" si="3"/>
        <v>2</v>
      </c>
      <c r="K69">
        <f t="shared" si="4"/>
        <v>2</v>
      </c>
      <c r="L69" cm="1">
        <f t="array" ref="L69">_xlfn.IFS(C69="Sat",1,C69="Sun",2,C69="Thur",3,C69="Fri",4)</f>
        <v>1</v>
      </c>
      <c r="M69">
        <f t="shared" si="5"/>
        <v>2</v>
      </c>
      <c r="N69">
        <v>1</v>
      </c>
      <c r="O69">
        <v>3.07</v>
      </c>
      <c r="P69">
        <v>1</v>
      </c>
    </row>
    <row r="70" spans="1:16" x14ac:dyDescent="0.3">
      <c r="A70" t="s">
        <v>11</v>
      </c>
      <c r="B70" t="s">
        <v>8</v>
      </c>
      <c r="C70" t="s">
        <v>21</v>
      </c>
      <c r="D70" t="s">
        <v>10</v>
      </c>
      <c r="E70">
        <v>2</v>
      </c>
      <c r="F70">
        <v>20.23</v>
      </c>
      <c r="G70">
        <v>2.0099999999999998</v>
      </c>
      <c r="J70">
        <f t="shared" si="3"/>
        <v>1</v>
      </c>
      <c r="K70">
        <f t="shared" si="4"/>
        <v>1</v>
      </c>
      <c r="L70" cm="1">
        <f t="array" ref="L70">_xlfn.IFS(C70="Sat",1,C70="Sun",2,C70="Thur",3,C70="Fri",4)</f>
        <v>1</v>
      </c>
      <c r="M70">
        <f t="shared" si="5"/>
        <v>2</v>
      </c>
      <c r="N70">
        <v>2</v>
      </c>
      <c r="O70">
        <v>20.23</v>
      </c>
      <c r="P70">
        <v>2.0099999999999998</v>
      </c>
    </row>
    <row r="71" spans="1:16" x14ac:dyDescent="0.3">
      <c r="A71" t="s">
        <v>11</v>
      </c>
      <c r="B71" t="s">
        <v>22</v>
      </c>
      <c r="C71" t="s">
        <v>21</v>
      </c>
      <c r="D71" t="s">
        <v>10</v>
      </c>
      <c r="E71">
        <v>2</v>
      </c>
      <c r="F71">
        <v>15.01</v>
      </c>
      <c r="G71">
        <v>2.09</v>
      </c>
      <c r="J71">
        <f t="shared" si="3"/>
        <v>1</v>
      </c>
      <c r="K71">
        <f t="shared" si="4"/>
        <v>2</v>
      </c>
      <c r="L71" cm="1">
        <f t="array" ref="L71">_xlfn.IFS(C71="Sat",1,C71="Sun",2,C71="Thur",3,C71="Fri",4)</f>
        <v>1</v>
      </c>
      <c r="M71">
        <f t="shared" si="5"/>
        <v>2</v>
      </c>
      <c r="N71">
        <v>2</v>
      </c>
      <c r="O71">
        <v>15.01</v>
      </c>
      <c r="P71">
        <v>2.09</v>
      </c>
    </row>
    <row r="72" spans="1:16" x14ac:dyDescent="0.3">
      <c r="A72" t="s">
        <v>11</v>
      </c>
      <c r="B72" t="s">
        <v>8</v>
      </c>
      <c r="C72" t="s">
        <v>21</v>
      </c>
      <c r="D72" t="s">
        <v>10</v>
      </c>
      <c r="E72">
        <v>2</v>
      </c>
      <c r="F72">
        <v>12.02</v>
      </c>
      <c r="G72">
        <v>1.97</v>
      </c>
      <c r="J72">
        <f t="shared" si="3"/>
        <v>1</v>
      </c>
      <c r="K72">
        <f t="shared" si="4"/>
        <v>1</v>
      </c>
      <c r="L72" cm="1">
        <f t="array" ref="L72">_xlfn.IFS(C72="Sat",1,C72="Sun",2,C72="Thur",3,C72="Fri",4)</f>
        <v>1</v>
      </c>
      <c r="M72">
        <f t="shared" si="5"/>
        <v>2</v>
      </c>
      <c r="N72">
        <v>2</v>
      </c>
      <c r="O72">
        <v>12.02</v>
      </c>
      <c r="P72">
        <v>1.97</v>
      </c>
    </row>
    <row r="73" spans="1:16" x14ac:dyDescent="0.3">
      <c r="A73" t="s">
        <v>7</v>
      </c>
      <c r="B73" t="s">
        <v>8</v>
      </c>
      <c r="C73" t="s">
        <v>21</v>
      </c>
      <c r="D73" t="s">
        <v>10</v>
      </c>
      <c r="E73">
        <v>3</v>
      </c>
      <c r="F73">
        <v>17.07</v>
      </c>
      <c r="G73">
        <v>3</v>
      </c>
      <c r="J73">
        <f t="shared" si="3"/>
        <v>2</v>
      </c>
      <c r="K73">
        <f t="shared" si="4"/>
        <v>1</v>
      </c>
      <c r="L73" cm="1">
        <f t="array" ref="L73">_xlfn.IFS(C73="Sat",1,C73="Sun",2,C73="Thur",3,C73="Fri",4)</f>
        <v>1</v>
      </c>
      <c r="M73">
        <f t="shared" si="5"/>
        <v>2</v>
      </c>
      <c r="N73">
        <v>3</v>
      </c>
      <c r="O73">
        <v>17.07</v>
      </c>
      <c r="P73">
        <v>3</v>
      </c>
    </row>
    <row r="74" spans="1:16" x14ac:dyDescent="0.3">
      <c r="A74" t="s">
        <v>7</v>
      </c>
      <c r="B74" t="s">
        <v>22</v>
      </c>
      <c r="C74" t="s">
        <v>21</v>
      </c>
      <c r="D74" t="s">
        <v>10</v>
      </c>
      <c r="E74">
        <v>2</v>
      </c>
      <c r="F74">
        <v>26.86</v>
      </c>
      <c r="G74">
        <v>3.14</v>
      </c>
      <c r="J74">
        <f t="shared" si="3"/>
        <v>2</v>
      </c>
      <c r="K74">
        <f t="shared" si="4"/>
        <v>2</v>
      </c>
      <c r="L74" cm="1">
        <f t="array" ref="L74">_xlfn.IFS(C74="Sat",1,C74="Sun",2,C74="Thur",3,C74="Fri",4)</f>
        <v>1</v>
      </c>
      <c r="M74">
        <f t="shared" si="5"/>
        <v>2</v>
      </c>
      <c r="N74">
        <v>2</v>
      </c>
      <c r="O74">
        <v>26.86</v>
      </c>
      <c r="P74">
        <v>3.14</v>
      </c>
    </row>
    <row r="75" spans="1:16" x14ac:dyDescent="0.3">
      <c r="A75" t="s">
        <v>7</v>
      </c>
      <c r="B75" t="s">
        <v>22</v>
      </c>
      <c r="C75" t="s">
        <v>21</v>
      </c>
      <c r="D75" t="s">
        <v>10</v>
      </c>
      <c r="E75">
        <v>2</v>
      </c>
      <c r="F75">
        <v>25.28</v>
      </c>
      <c r="G75">
        <v>5</v>
      </c>
      <c r="J75">
        <f t="shared" si="3"/>
        <v>2</v>
      </c>
      <c r="K75">
        <f t="shared" si="4"/>
        <v>2</v>
      </c>
      <c r="L75" cm="1">
        <f t="array" ref="L75">_xlfn.IFS(C75="Sat",1,C75="Sun",2,C75="Thur",3,C75="Fri",4)</f>
        <v>1</v>
      </c>
      <c r="M75">
        <f t="shared" si="5"/>
        <v>2</v>
      </c>
      <c r="N75">
        <v>2</v>
      </c>
      <c r="O75">
        <v>25.28</v>
      </c>
      <c r="P75">
        <v>5</v>
      </c>
    </row>
    <row r="76" spans="1:16" x14ac:dyDescent="0.3">
      <c r="A76" t="s">
        <v>7</v>
      </c>
      <c r="B76" t="s">
        <v>8</v>
      </c>
      <c r="C76" t="s">
        <v>21</v>
      </c>
      <c r="D76" t="s">
        <v>10</v>
      </c>
      <c r="E76">
        <v>2</v>
      </c>
      <c r="F76">
        <v>14.73</v>
      </c>
      <c r="G76">
        <v>2.2000000000000002</v>
      </c>
      <c r="J76">
        <f t="shared" si="3"/>
        <v>2</v>
      </c>
      <c r="K76">
        <f t="shared" si="4"/>
        <v>1</v>
      </c>
      <c r="L76" cm="1">
        <f t="array" ref="L76">_xlfn.IFS(C76="Sat",1,C76="Sun",2,C76="Thur",3,C76="Fri",4)</f>
        <v>1</v>
      </c>
      <c r="M76">
        <f t="shared" si="5"/>
        <v>2</v>
      </c>
      <c r="N76">
        <v>2</v>
      </c>
      <c r="O76">
        <v>14.73</v>
      </c>
      <c r="P76">
        <v>2.2000000000000002</v>
      </c>
    </row>
    <row r="77" spans="1:16" x14ac:dyDescent="0.3">
      <c r="A77" t="s">
        <v>11</v>
      </c>
      <c r="B77" t="s">
        <v>8</v>
      </c>
      <c r="C77" t="s">
        <v>21</v>
      </c>
      <c r="D77" t="s">
        <v>10</v>
      </c>
      <c r="E77">
        <v>2</v>
      </c>
      <c r="F77">
        <v>10.51</v>
      </c>
      <c r="G77">
        <v>1.25</v>
      </c>
      <c r="J77">
        <f t="shared" si="3"/>
        <v>1</v>
      </c>
      <c r="K77">
        <f t="shared" si="4"/>
        <v>1</v>
      </c>
      <c r="L77" cm="1">
        <f t="array" ref="L77">_xlfn.IFS(C77="Sat",1,C77="Sun",2,C77="Thur",3,C77="Fri",4)</f>
        <v>1</v>
      </c>
      <c r="M77">
        <f t="shared" si="5"/>
        <v>2</v>
      </c>
      <c r="N77">
        <v>2</v>
      </c>
      <c r="O77">
        <v>10.51</v>
      </c>
      <c r="P77">
        <v>1.25</v>
      </c>
    </row>
    <row r="78" spans="1:16" x14ac:dyDescent="0.3">
      <c r="A78" t="s">
        <v>11</v>
      </c>
      <c r="B78" t="s">
        <v>22</v>
      </c>
      <c r="C78" t="s">
        <v>21</v>
      </c>
      <c r="D78" t="s">
        <v>10</v>
      </c>
      <c r="E78">
        <v>2</v>
      </c>
      <c r="F78">
        <v>17.920000000000002</v>
      </c>
      <c r="G78">
        <v>3.08</v>
      </c>
      <c r="J78">
        <f t="shared" si="3"/>
        <v>1</v>
      </c>
      <c r="K78">
        <f t="shared" si="4"/>
        <v>2</v>
      </c>
      <c r="L78" cm="1">
        <f t="array" ref="L78">_xlfn.IFS(C78="Sat",1,C78="Sun",2,C78="Thur",3,C78="Fri",4)</f>
        <v>1</v>
      </c>
      <c r="M78">
        <f t="shared" si="5"/>
        <v>2</v>
      </c>
      <c r="N78">
        <v>2</v>
      </c>
      <c r="O78">
        <v>17.920000000000002</v>
      </c>
      <c r="P78">
        <v>3.08</v>
      </c>
    </row>
    <row r="79" spans="1:16" x14ac:dyDescent="0.3">
      <c r="A79" t="s">
        <v>11</v>
      </c>
      <c r="B79" t="s">
        <v>8</v>
      </c>
      <c r="C79" t="s">
        <v>23</v>
      </c>
      <c r="D79" t="s">
        <v>24</v>
      </c>
      <c r="E79">
        <v>4</v>
      </c>
      <c r="F79">
        <v>27.2</v>
      </c>
      <c r="G79">
        <v>4</v>
      </c>
      <c r="J79">
        <f t="shared" si="3"/>
        <v>1</v>
      </c>
      <c r="K79">
        <f t="shared" si="4"/>
        <v>1</v>
      </c>
      <c r="L79" cm="1">
        <f t="array" ref="L79">_xlfn.IFS(C79="Sat",1,C79="Sun",2,C79="Thur",3,C79="Fri",4)</f>
        <v>3</v>
      </c>
      <c r="M79">
        <f t="shared" si="5"/>
        <v>1</v>
      </c>
      <c r="N79">
        <v>4</v>
      </c>
      <c r="O79">
        <v>27.2</v>
      </c>
      <c r="P79">
        <v>4</v>
      </c>
    </row>
    <row r="80" spans="1:16" x14ac:dyDescent="0.3">
      <c r="A80" t="s">
        <v>11</v>
      </c>
      <c r="B80" t="s">
        <v>8</v>
      </c>
      <c r="C80" t="s">
        <v>23</v>
      </c>
      <c r="D80" t="s">
        <v>24</v>
      </c>
      <c r="E80">
        <v>2</v>
      </c>
      <c r="F80">
        <v>22.76</v>
      </c>
      <c r="G80">
        <v>3</v>
      </c>
      <c r="J80">
        <f t="shared" si="3"/>
        <v>1</v>
      </c>
      <c r="K80">
        <f t="shared" si="4"/>
        <v>1</v>
      </c>
      <c r="L80" cm="1">
        <f t="array" ref="L80">_xlfn.IFS(C80="Sat",1,C80="Sun",2,C80="Thur",3,C80="Fri",4)</f>
        <v>3</v>
      </c>
      <c r="M80">
        <f t="shared" si="5"/>
        <v>1</v>
      </c>
      <c r="N80">
        <v>2</v>
      </c>
      <c r="O80">
        <v>22.76</v>
      </c>
      <c r="P80">
        <v>3</v>
      </c>
    </row>
    <row r="81" spans="1:16" x14ac:dyDescent="0.3">
      <c r="A81" t="s">
        <v>11</v>
      </c>
      <c r="B81" t="s">
        <v>8</v>
      </c>
      <c r="C81" t="s">
        <v>23</v>
      </c>
      <c r="D81" t="s">
        <v>24</v>
      </c>
      <c r="E81">
        <v>2</v>
      </c>
      <c r="F81">
        <v>17.29</v>
      </c>
      <c r="G81">
        <v>2.71</v>
      </c>
      <c r="J81">
        <f t="shared" si="3"/>
        <v>1</v>
      </c>
      <c r="K81">
        <f t="shared" si="4"/>
        <v>1</v>
      </c>
      <c r="L81" cm="1">
        <f t="array" ref="L81">_xlfn.IFS(C81="Sat",1,C81="Sun",2,C81="Thur",3,C81="Fri",4)</f>
        <v>3</v>
      </c>
      <c r="M81">
        <f t="shared" si="5"/>
        <v>1</v>
      </c>
      <c r="N81">
        <v>2</v>
      </c>
      <c r="O81">
        <v>17.29</v>
      </c>
      <c r="P81">
        <v>2.71</v>
      </c>
    </row>
    <row r="82" spans="1:16" x14ac:dyDescent="0.3">
      <c r="A82" t="s">
        <v>11</v>
      </c>
      <c r="B82" t="s">
        <v>22</v>
      </c>
      <c r="C82" t="s">
        <v>23</v>
      </c>
      <c r="D82" t="s">
        <v>24</v>
      </c>
      <c r="E82">
        <v>2</v>
      </c>
      <c r="F82">
        <v>19.440000000000001</v>
      </c>
      <c r="G82">
        <v>3</v>
      </c>
      <c r="J82">
        <f t="shared" si="3"/>
        <v>1</v>
      </c>
      <c r="K82">
        <f t="shared" si="4"/>
        <v>2</v>
      </c>
      <c r="L82" cm="1">
        <f t="array" ref="L82">_xlfn.IFS(C82="Sat",1,C82="Sun",2,C82="Thur",3,C82="Fri",4)</f>
        <v>3</v>
      </c>
      <c r="M82">
        <f t="shared" si="5"/>
        <v>1</v>
      </c>
      <c r="N82">
        <v>2</v>
      </c>
      <c r="O82">
        <v>19.440000000000001</v>
      </c>
      <c r="P82">
        <v>3</v>
      </c>
    </row>
    <row r="83" spans="1:16" x14ac:dyDescent="0.3">
      <c r="A83" t="s">
        <v>11</v>
      </c>
      <c r="B83" t="s">
        <v>8</v>
      </c>
      <c r="C83" t="s">
        <v>23</v>
      </c>
      <c r="D83" t="s">
        <v>24</v>
      </c>
      <c r="E83">
        <v>2</v>
      </c>
      <c r="F83">
        <v>16.66</v>
      </c>
      <c r="G83">
        <v>3.4</v>
      </c>
      <c r="J83">
        <f t="shared" si="3"/>
        <v>1</v>
      </c>
      <c r="K83">
        <f t="shared" si="4"/>
        <v>1</v>
      </c>
      <c r="L83" cm="1">
        <f t="array" ref="L83">_xlfn.IFS(C83="Sat",1,C83="Sun",2,C83="Thur",3,C83="Fri",4)</f>
        <v>3</v>
      </c>
      <c r="M83">
        <f t="shared" si="5"/>
        <v>1</v>
      </c>
      <c r="N83">
        <v>2</v>
      </c>
      <c r="O83">
        <v>16.66</v>
      </c>
      <c r="P83">
        <v>3.4</v>
      </c>
    </row>
    <row r="84" spans="1:16" x14ac:dyDescent="0.3">
      <c r="A84" t="s">
        <v>7</v>
      </c>
      <c r="B84" t="s">
        <v>8</v>
      </c>
      <c r="C84" t="s">
        <v>23</v>
      </c>
      <c r="D84" t="s">
        <v>24</v>
      </c>
      <c r="E84">
        <v>1</v>
      </c>
      <c r="F84">
        <v>10.07</v>
      </c>
      <c r="G84">
        <v>1.83</v>
      </c>
      <c r="J84">
        <f t="shared" si="3"/>
        <v>2</v>
      </c>
      <c r="K84">
        <f t="shared" si="4"/>
        <v>1</v>
      </c>
      <c r="L84" cm="1">
        <f t="array" ref="L84">_xlfn.IFS(C84="Sat",1,C84="Sun",2,C84="Thur",3,C84="Fri",4)</f>
        <v>3</v>
      </c>
      <c r="M84">
        <f t="shared" si="5"/>
        <v>1</v>
      </c>
      <c r="N84">
        <v>1</v>
      </c>
      <c r="O84">
        <v>10.07</v>
      </c>
      <c r="P84">
        <v>1.83</v>
      </c>
    </row>
    <row r="85" spans="1:16" x14ac:dyDescent="0.3">
      <c r="A85" t="s">
        <v>11</v>
      </c>
      <c r="B85" t="s">
        <v>22</v>
      </c>
      <c r="C85" t="s">
        <v>23</v>
      </c>
      <c r="D85" t="s">
        <v>24</v>
      </c>
      <c r="E85">
        <v>2</v>
      </c>
      <c r="F85">
        <v>32.68</v>
      </c>
      <c r="G85">
        <v>5</v>
      </c>
      <c r="J85">
        <f t="shared" si="3"/>
        <v>1</v>
      </c>
      <c r="K85">
        <f t="shared" si="4"/>
        <v>2</v>
      </c>
      <c r="L85" cm="1">
        <f t="array" ref="L85">_xlfn.IFS(C85="Sat",1,C85="Sun",2,C85="Thur",3,C85="Fri",4)</f>
        <v>3</v>
      </c>
      <c r="M85">
        <f t="shared" si="5"/>
        <v>1</v>
      </c>
      <c r="N85">
        <v>2</v>
      </c>
      <c r="O85">
        <v>32.68</v>
      </c>
      <c r="P85">
        <v>5</v>
      </c>
    </row>
    <row r="86" spans="1:16" x14ac:dyDescent="0.3">
      <c r="A86" t="s">
        <v>11</v>
      </c>
      <c r="B86" t="s">
        <v>8</v>
      </c>
      <c r="C86" t="s">
        <v>23</v>
      </c>
      <c r="D86" t="s">
        <v>24</v>
      </c>
      <c r="E86">
        <v>2</v>
      </c>
      <c r="F86">
        <v>15.98</v>
      </c>
      <c r="G86">
        <v>2.0299999999999998</v>
      </c>
      <c r="J86">
        <f t="shared" si="3"/>
        <v>1</v>
      </c>
      <c r="K86">
        <f t="shared" si="4"/>
        <v>1</v>
      </c>
      <c r="L86" cm="1">
        <f t="array" ref="L86">_xlfn.IFS(C86="Sat",1,C86="Sun",2,C86="Thur",3,C86="Fri",4)</f>
        <v>3</v>
      </c>
      <c r="M86">
        <f t="shared" si="5"/>
        <v>1</v>
      </c>
      <c r="N86">
        <v>2</v>
      </c>
      <c r="O86">
        <v>15.98</v>
      </c>
      <c r="P86">
        <v>2.0299999999999998</v>
      </c>
    </row>
    <row r="87" spans="1:16" x14ac:dyDescent="0.3">
      <c r="A87" t="s">
        <v>7</v>
      </c>
      <c r="B87" t="s">
        <v>8</v>
      </c>
      <c r="C87" t="s">
        <v>23</v>
      </c>
      <c r="D87" t="s">
        <v>24</v>
      </c>
      <c r="E87">
        <v>4</v>
      </c>
      <c r="F87">
        <v>34.83</v>
      </c>
      <c r="G87">
        <v>5.17</v>
      </c>
      <c r="J87">
        <f t="shared" si="3"/>
        <v>2</v>
      </c>
      <c r="K87">
        <f t="shared" si="4"/>
        <v>1</v>
      </c>
      <c r="L87" cm="1">
        <f t="array" ref="L87">_xlfn.IFS(C87="Sat",1,C87="Sun",2,C87="Thur",3,C87="Fri",4)</f>
        <v>3</v>
      </c>
      <c r="M87">
        <f t="shared" si="5"/>
        <v>1</v>
      </c>
      <c r="N87">
        <v>4</v>
      </c>
      <c r="O87">
        <v>34.83</v>
      </c>
      <c r="P87">
        <v>5.17</v>
      </c>
    </row>
    <row r="88" spans="1:16" x14ac:dyDescent="0.3">
      <c r="A88" t="s">
        <v>11</v>
      </c>
      <c r="B88" t="s">
        <v>8</v>
      </c>
      <c r="C88" t="s">
        <v>23</v>
      </c>
      <c r="D88" t="s">
        <v>24</v>
      </c>
      <c r="E88">
        <v>2</v>
      </c>
      <c r="F88">
        <v>13.03</v>
      </c>
      <c r="G88">
        <v>2</v>
      </c>
      <c r="J88">
        <f t="shared" si="3"/>
        <v>1</v>
      </c>
      <c r="K88">
        <f t="shared" si="4"/>
        <v>1</v>
      </c>
      <c r="L88" cm="1">
        <f t="array" ref="L88">_xlfn.IFS(C88="Sat",1,C88="Sun",2,C88="Thur",3,C88="Fri",4)</f>
        <v>3</v>
      </c>
      <c r="M88">
        <f t="shared" si="5"/>
        <v>1</v>
      </c>
      <c r="N88">
        <v>2</v>
      </c>
      <c r="O88">
        <v>13.03</v>
      </c>
      <c r="P88">
        <v>2</v>
      </c>
    </row>
    <row r="89" spans="1:16" x14ac:dyDescent="0.3">
      <c r="A89" t="s">
        <v>11</v>
      </c>
      <c r="B89" t="s">
        <v>8</v>
      </c>
      <c r="C89" t="s">
        <v>23</v>
      </c>
      <c r="D89" t="s">
        <v>24</v>
      </c>
      <c r="E89">
        <v>2</v>
      </c>
      <c r="F89">
        <v>18.28</v>
      </c>
      <c r="G89">
        <v>4</v>
      </c>
      <c r="J89">
        <f t="shared" si="3"/>
        <v>1</v>
      </c>
      <c r="K89">
        <f t="shared" si="4"/>
        <v>1</v>
      </c>
      <c r="L89" cm="1">
        <f t="array" ref="L89">_xlfn.IFS(C89="Sat",1,C89="Sun",2,C89="Thur",3,C89="Fri",4)</f>
        <v>3</v>
      </c>
      <c r="M89">
        <f t="shared" si="5"/>
        <v>1</v>
      </c>
      <c r="N89">
        <v>2</v>
      </c>
      <c r="O89">
        <v>18.28</v>
      </c>
      <c r="P89">
        <v>4</v>
      </c>
    </row>
    <row r="90" spans="1:16" x14ac:dyDescent="0.3">
      <c r="A90" t="s">
        <v>11</v>
      </c>
      <c r="B90" t="s">
        <v>8</v>
      </c>
      <c r="C90" t="s">
        <v>23</v>
      </c>
      <c r="D90" t="s">
        <v>24</v>
      </c>
      <c r="E90">
        <v>2</v>
      </c>
      <c r="F90">
        <v>24.71</v>
      </c>
      <c r="G90">
        <v>5.85</v>
      </c>
      <c r="J90">
        <f t="shared" si="3"/>
        <v>1</v>
      </c>
      <c r="K90">
        <f t="shared" si="4"/>
        <v>1</v>
      </c>
      <c r="L90" cm="1">
        <f t="array" ref="L90">_xlfn.IFS(C90="Sat",1,C90="Sun",2,C90="Thur",3,C90="Fri",4)</f>
        <v>3</v>
      </c>
      <c r="M90">
        <f t="shared" si="5"/>
        <v>1</v>
      </c>
      <c r="N90">
        <v>2</v>
      </c>
      <c r="O90">
        <v>24.71</v>
      </c>
      <c r="P90">
        <v>5.85</v>
      </c>
    </row>
    <row r="91" spans="1:16" x14ac:dyDescent="0.3">
      <c r="A91" t="s">
        <v>11</v>
      </c>
      <c r="B91" t="s">
        <v>8</v>
      </c>
      <c r="C91" t="s">
        <v>23</v>
      </c>
      <c r="D91" t="s">
        <v>24</v>
      </c>
      <c r="E91">
        <v>2</v>
      </c>
      <c r="F91">
        <v>21.16</v>
      </c>
      <c r="G91">
        <v>3</v>
      </c>
      <c r="J91">
        <f t="shared" si="3"/>
        <v>1</v>
      </c>
      <c r="K91">
        <f t="shared" si="4"/>
        <v>1</v>
      </c>
      <c r="L91" cm="1">
        <f t="array" ref="L91">_xlfn.IFS(C91="Sat",1,C91="Sun",2,C91="Thur",3,C91="Fri",4)</f>
        <v>3</v>
      </c>
      <c r="M91">
        <f t="shared" si="5"/>
        <v>1</v>
      </c>
      <c r="N91">
        <v>2</v>
      </c>
      <c r="O91">
        <v>21.16</v>
      </c>
      <c r="P91">
        <v>3</v>
      </c>
    </row>
    <row r="92" spans="1:16" x14ac:dyDescent="0.3">
      <c r="A92" t="s">
        <v>11</v>
      </c>
      <c r="B92" t="s">
        <v>22</v>
      </c>
      <c r="C92" t="s">
        <v>25</v>
      </c>
      <c r="D92" t="s">
        <v>10</v>
      </c>
      <c r="E92">
        <v>2</v>
      </c>
      <c r="F92">
        <v>28.97</v>
      </c>
      <c r="G92">
        <v>3</v>
      </c>
      <c r="J92">
        <f t="shared" si="3"/>
        <v>1</v>
      </c>
      <c r="K92">
        <f t="shared" si="4"/>
        <v>2</v>
      </c>
      <c r="L92" cm="1">
        <f t="array" ref="L92">_xlfn.IFS(C92="Sat",1,C92="Sun",2,C92="Thur",3,C92="Fri",4)</f>
        <v>4</v>
      </c>
      <c r="M92">
        <f t="shared" si="5"/>
        <v>2</v>
      </c>
      <c r="N92">
        <v>2</v>
      </c>
      <c r="O92">
        <v>28.97</v>
      </c>
      <c r="P92">
        <v>3</v>
      </c>
    </row>
    <row r="93" spans="1:16" x14ac:dyDescent="0.3">
      <c r="A93" t="s">
        <v>11</v>
      </c>
      <c r="B93" t="s">
        <v>8</v>
      </c>
      <c r="C93" t="s">
        <v>25</v>
      </c>
      <c r="D93" t="s">
        <v>10</v>
      </c>
      <c r="E93">
        <v>2</v>
      </c>
      <c r="F93">
        <v>22.49</v>
      </c>
      <c r="G93">
        <v>3.5</v>
      </c>
      <c r="J93">
        <f t="shared" si="3"/>
        <v>1</v>
      </c>
      <c r="K93">
        <f t="shared" si="4"/>
        <v>1</v>
      </c>
      <c r="L93" cm="1">
        <f t="array" ref="L93">_xlfn.IFS(C93="Sat",1,C93="Sun",2,C93="Thur",3,C93="Fri",4)</f>
        <v>4</v>
      </c>
      <c r="M93">
        <f t="shared" si="5"/>
        <v>2</v>
      </c>
      <c r="N93">
        <v>2</v>
      </c>
      <c r="O93">
        <v>22.49</v>
      </c>
      <c r="P93">
        <v>3.5</v>
      </c>
    </row>
    <row r="94" spans="1:16" x14ac:dyDescent="0.3">
      <c r="A94" t="s">
        <v>7</v>
      </c>
      <c r="B94" t="s">
        <v>22</v>
      </c>
      <c r="C94" t="s">
        <v>25</v>
      </c>
      <c r="D94" t="s">
        <v>10</v>
      </c>
      <c r="E94">
        <v>2</v>
      </c>
      <c r="F94">
        <v>5.75</v>
      </c>
      <c r="G94">
        <v>1</v>
      </c>
      <c r="J94">
        <f t="shared" si="3"/>
        <v>2</v>
      </c>
      <c r="K94">
        <f t="shared" si="4"/>
        <v>2</v>
      </c>
      <c r="L94" cm="1">
        <f t="array" ref="L94">_xlfn.IFS(C94="Sat",1,C94="Sun",2,C94="Thur",3,C94="Fri",4)</f>
        <v>4</v>
      </c>
      <c r="M94">
        <f t="shared" si="5"/>
        <v>2</v>
      </c>
      <c r="N94">
        <v>2</v>
      </c>
      <c r="O94">
        <v>5.75</v>
      </c>
      <c r="P94">
        <v>1</v>
      </c>
    </row>
    <row r="95" spans="1:16" x14ac:dyDescent="0.3">
      <c r="A95" t="s">
        <v>7</v>
      </c>
      <c r="B95" t="s">
        <v>22</v>
      </c>
      <c r="C95" t="s">
        <v>25</v>
      </c>
      <c r="D95" t="s">
        <v>10</v>
      </c>
      <c r="E95">
        <v>2</v>
      </c>
      <c r="F95">
        <v>16.32</v>
      </c>
      <c r="G95">
        <v>4.3</v>
      </c>
      <c r="J95">
        <f t="shared" si="3"/>
        <v>2</v>
      </c>
      <c r="K95">
        <f t="shared" si="4"/>
        <v>2</v>
      </c>
      <c r="L95" cm="1">
        <f t="array" ref="L95">_xlfn.IFS(C95="Sat",1,C95="Sun",2,C95="Thur",3,C95="Fri",4)</f>
        <v>4</v>
      </c>
      <c r="M95">
        <f t="shared" si="5"/>
        <v>2</v>
      </c>
      <c r="N95">
        <v>2</v>
      </c>
      <c r="O95">
        <v>16.32</v>
      </c>
      <c r="P95">
        <v>4.3</v>
      </c>
    </row>
    <row r="96" spans="1:16" x14ac:dyDescent="0.3">
      <c r="A96" t="s">
        <v>7</v>
      </c>
      <c r="B96" t="s">
        <v>8</v>
      </c>
      <c r="C96" t="s">
        <v>25</v>
      </c>
      <c r="D96" t="s">
        <v>10</v>
      </c>
      <c r="E96">
        <v>2</v>
      </c>
      <c r="F96">
        <v>22.75</v>
      </c>
      <c r="G96">
        <v>3.25</v>
      </c>
      <c r="J96">
        <f t="shared" si="3"/>
        <v>2</v>
      </c>
      <c r="K96">
        <f t="shared" si="4"/>
        <v>1</v>
      </c>
      <c r="L96" cm="1">
        <f t="array" ref="L96">_xlfn.IFS(C96="Sat",1,C96="Sun",2,C96="Thur",3,C96="Fri",4)</f>
        <v>4</v>
      </c>
      <c r="M96">
        <f t="shared" si="5"/>
        <v>2</v>
      </c>
      <c r="N96">
        <v>2</v>
      </c>
      <c r="O96">
        <v>22.75</v>
      </c>
      <c r="P96">
        <v>3.25</v>
      </c>
    </row>
    <row r="97" spans="1:16" x14ac:dyDescent="0.3">
      <c r="A97" t="s">
        <v>11</v>
      </c>
      <c r="B97" t="s">
        <v>22</v>
      </c>
      <c r="C97" t="s">
        <v>25</v>
      </c>
      <c r="D97" t="s">
        <v>10</v>
      </c>
      <c r="E97">
        <v>4</v>
      </c>
      <c r="F97">
        <v>40.17</v>
      </c>
      <c r="G97">
        <v>4.7300000000000004</v>
      </c>
      <c r="J97">
        <f t="shared" si="3"/>
        <v>1</v>
      </c>
      <c r="K97">
        <f t="shared" si="4"/>
        <v>2</v>
      </c>
      <c r="L97" cm="1">
        <f t="array" ref="L97">_xlfn.IFS(C97="Sat",1,C97="Sun",2,C97="Thur",3,C97="Fri",4)</f>
        <v>4</v>
      </c>
      <c r="M97">
        <f t="shared" si="5"/>
        <v>2</v>
      </c>
      <c r="N97">
        <v>4</v>
      </c>
      <c r="O97">
        <v>40.17</v>
      </c>
      <c r="P97">
        <v>4.7300000000000004</v>
      </c>
    </row>
    <row r="98" spans="1:16" x14ac:dyDescent="0.3">
      <c r="A98" t="s">
        <v>11</v>
      </c>
      <c r="B98" t="s">
        <v>22</v>
      </c>
      <c r="C98" t="s">
        <v>25</v>
      </c>
      <c r="D98" t="s">
        <v>10</v>
      </c>
      <c r="E98">
        <v>2</v>
      </c>
      <c r="F98">
        <v>27.28</v>
      </c>
      <c r="G98">
        <v>4</v>
      </c>
      <c r="J98">
        <f t="shared" si="3"/>
        <v>1</v>
      </c>
      <c r="K98">
        <f t="shared" si="4"/>
        <v>2</v>
      </c>
      <c r="L98" cm="1">
        <f t="array" ref="L98">_xlfn.IFS(C98="Sat",1,C98="Sun",2,C98="Thur",3,C98="Fri",4)</f>
        <v>4</v>
      </c>
      <c r="M98">
        <f t="shared" si="5"/>
        <v>2</v>
      </c>
      <c r="N98">
        <v>2</v>
      </c>
      <c r="O98">
        <v>27.28</v>
      </c>
      <c r="P98">
        <v>4</v>
      </c>
    </row>
    <row r="99" spans="1:16" x14ac:dyDescent="0.3">
      <c r="A99" t="s">
        <v>11</v>
      </c>
      <c r="B99" t="s">
        <v>22</v>
      </c>
      <c r="C99" t="s">
        <v>25</v>
      </c>
      <c r="D99" t="s">
        <v>10</v>
      </c>
      <c r="E99">
        <v>2</v>
      </c>
      <c r="F99">
        <v>12.03</v>
      </c>
      <c r="G99">
        <v>1.5</v>
      </c>
      <c r="J99">
        <f t="shared" si="3"/>
        <v>1</v>
      </c>
      <c r="K99">
        <f t="shared" si="4"/>
        <v>2</v>
      </c>
      <c r="L99" cm="1">
        <f t="array" ref="L99">_xlfn.IFS(C99="Sat",1,C99="Sun",2,C99="Thur",3,C99="Fri",4)</f>
        <v>4</v>
      </c>
      <c r="M99">
        <f t="shared" si="5"/>
        <v>2</v>
      </c>
      <c r="N99">
        <v>2</v>
      </c>
      <c r="O99">
        <v>12.03</v>
      </c>
      <c r="P99">
        <v>1.5</v>
      </c>
    </row>
    <row r="100" spans="1:16" x14ac:dyDescent="0.3">
      <c r="A100" t="s">
        <v>11</v>
      </c>
      <c r="B100" t="s">
        <v>22</v>
      </c>
      <c r="C100" t="s">
        <v>25</v>
      </c>
      <c r="D100" t="s">
        <v>10</v>
      </c>
      <c r="E100">
        <v>2</v>
      </c>
      <c r="F100">
        <v>21.01</v>
      </c>
      <c r="G100">
        <v>3</v>
      </c>
      <c r="J100">
        <f t="shared" si="3"/>
        <v>1</v>
      </c>
      <c r="K100">
        <f t="shared" si="4"/>
        <v>2</v>
      </c>
      <c r="L100" cm="1">
        <f t="array" ref="L100">_xlfn.IFS(C100="Sat",1,C100="Sun",2,C100="Thur",3,C100="Fri",4)</f>
        <v>4</v>
      </c>
      <c r="M100">
        <f t="shared" si="5"/>
        <v>2</v>
      </c>
      <c r="N100">
        <v>2</v>
      </c>
      <c r="O100">
        <v>21.01</v>
      </c>
      <c r="P100">
        <v>3</v>
      </c>
    </row>
    <row r="101" spans="1:16" x14ac:dyDescent="0.3">
      <c r="A101" t="s">
        <v>11</v>
      </c>
      <c r="B101" t="s">
        <v>8</v>
      </c>
      <c r="C101" t="s">
        <v>25</v>
      </c>
      <c r="D101" t="s">
        <v>10</v>
      </c>
      <c r="E101">
        <v>2</v>
      </c>
      <c r="F101">
        <v>12.46</v>
      </c>
      <c r="G101">
        <v>1.5</v>
      </c>
      <c r="J101">
        <f t="shared" si="3"/>
        <v>1</v>
      </c>
      <c r="K101">
        <f t="shared" si="4"/>
        <v>1</v>
      </c>
      <c r="L101" cm="1">
        <f t="array" ref="L101">_xlfn.IFS(C101="Sat",1,C101="Sun",2,C101="Thur",3,C101="Fri",4)</f>
        <v>4</v>
      </c>
      <c r="M101">
        <f t="shared" si="5"/>
        <v>2</v>
      </c>
      <c r="N101">
        <v>2</v>
      </c>
      <c r="O101">
        <v>12.46</v>
      </c>
      <c r="P101">
        <v>1.5</v>
      </c>
    </row>
    <row r="102" spans="1:16" x14ac:dyDescent="0.3">
      <c r="A102" t="s">
        <v>7</v>
      </c>
      <c r="B102" t="s">
        <v>22</v>
      </c>
      <c r="C102" t="s">
        <v>25</v>
      </c>
      <c r="D102" t="s">
        <v>10</v>
      </c>
      <c r="E102">
        <v>2</v>
      </c>
      <c r="F102">
        <v>11.35</v>
      </c>
      <c r="G102">
        <v>2.5</v>
      </c>
      <c r="J102">
        <f t="shared" si="3"/>
        <v>2</v>
      </c>
      <c r="K102">
        <f t="shared" si="4"/>
        <v>2</v>
      </c>
      <c r="L102" cm="1">
        <f t="array" ref="L102">_xlfn.IFS(C102="Sat",1,C102="Sun",2,C102="Thur",3,C102="Fri",4)</f>
        <v>4</v>
      </c>
      <c r="M102">
        <f t="shared" si="5"/>
        <v>2</v>
      </c>
      <c r="N102">
        <v>2</v>
      </c>
      <c r="O102">
        <v>11.35</v>
      </c>
      <c r="P102">
        <v>2.5</v>
      </c>
    </row>
    <row r="103" spans="1:16" x14ac:dyDescent="0.3">
      <c r="A103" t="s">
        <v>7</v>
      </c>
      <c r="B103" t="s">
        <v>22</v>
      </c>
      <c r="C103" t="s">
        <v>25</v>
      </c>
      <c r="D103" t="s">
        <v>10</v>
      </c>
      <c r="E103">
        <v>2</v>
      </c>
      <c r="F103">
        <v>15.38</v>
      </c>
      <c r="G103">
        <v>3</v>
      </c>
      <c r="J103">
        <f t="shared" si="3"/>
        <v>2</v>
      </c>
      <c r="K103">
        <f t="shared" si="4"/>
        <v>2</v>
      </c>
      <c r="L103" cm="1">
        <f t="array" ref="L103">_xlfn.IFS(C103="Sat",1,C103="Sun",2,C103="Thur",3,C103="Fri",4)</f>
        <v>4</v>
      </c>
      <c r="M103">
        <f t="shared" si="5"/>
        <v>2</v>
      </c>
      <c r="N103">
        <v>2</v>
      </c>
      <c r="O103">
        <v>15.38</v>
      </c>
      <c r="P103">
        <v>3</v>
      </c>
    </row>
    <row r="104" spans="1:16" x14ac:dyDescent="0.3">
      <c r="A104" t="s">
        <v>7</v>
      </c>
      <c r="B104" t="s">
        <v>22</v>
      </c>
      <c r="C104" t="s">
        <v>21</v>
      </c>
      <c r="D104" t="s">
        <v>10</v>
      </c>
      <c r="E104">
        <v>3</v>
      </c>
      <c r="F104">
        <v>44.3</v>
      </c>
      <c r="G104">
        <v>2.5</v>
      </c>
      <c r="J104">
        <f t="shared" si="3"/>
        <v>2</v>
      </c>
      <c r="K104">
        <f t="shared" si="4"/>
        <v>2</v>
      </c>
      <c r="L104" cm="1">
        <f t="array" ref="L104">_xlfn.IFS(C104="Sat",1,C104="Sun",2,C104="Thur",3,C104="Fri",4)</f>
        <v>1</v>
      </c>
      <c r="M104">
        <f t="shared" si="5"/>
        <v>2</v>
      </c>
      <c r="N104">
        <v>3</v>
      </c>
      <c r="O104">
        <v>44.3</v>
      </c>
      <c r="P104">
        <v>2.5</v>
      </c>
    </row>
    <row r="105" spans="1:16" x14ac:dyDescent="0.3">
      <c r="A105" t="s">
        <v>7</v>
      </c>
      <c r="B105" t="s">
        <v>22</v>
      </c>
      <c r="C105" t="s">
        <v>21</v>
      </c>
      <c r="D105" t="s">
        <v>10</v>
      </c>
      <c r="E105">
        <v>2</v>
      </c>
      <c r="F105">
        <v>22.42</v>
      </c>
      <c r="G105">
        <v>3.48</v>
      </c>
      <c r="J105">
        <f t="shared" si="3"/>
        <v>2</v>
      </c>
      <c r="K105">
        <f t="shared" si="4"/>
        <v>2</v>
      </c>
      <c r="L105" cm="1">
        <f t="array" ref="L105">_xlfn.IFS(C105="Sat",1,C105="Sun",2,C105="Thur",3,C105="Fri",4)</f>
        <v>1</v>
      </c>
      <c r="M105">
        <f t="shared" si="5"/>
        <v>2</v>
      </c>
      <c r="N105">
        <v>2</v>
      </c>
      <c r="O105">
        <v>22.42</v>
      </c>
      <c r="P105">
        <v>3.48</v>
      </c>
    </row>
    <row r="106" spans="1:16" x14ac:dyDescent="0.3">
      <c r="A106" t="s">
        <v>7</v>
      </c>
      <c r="B106" t="s">
        <v>8</v>
      </c>
      <c r="C106" t="s">
        <v>21</v>
      </c>
      <c r="D106" t="s">
        <v>10</v>
      </c>
      <c r="E106">
        <v>2</v>
      </c>
      <c r="F106">
        <v>20.92</v>
      </c>
      <c r="G106">
        <v>4.08</v>
      </c>
      <c r="J106">
        <f t="shared" si="3"/>
        <v>2</v>
      </c>
      <c r="K106">
        <f t="shared" si="4"/>
        <v>1</v>
      </c>
      <c r="L106" cm="1">
        <f t="array" ref="L106">_xlfn.IFS(C106="Sat",1,C106="Sun",2,C106="Thur",3,C106="Fri",4)</f>
        <v>1</v>
      </c>
      <c r="M106">
        <f t="shared" si="5"/>
        <v>2</v>
      </c>
      <c r="N106">
        <v>2</v>
      </c>
      <c r="O106">
        <v>20.92</v>
      </c>
      <c r="P106">
        <v>4.08</v>
      </c>
    </row>
    <row r="107" spans="1:16" x14ac:dyDescent="0.3">
      <c r="A107" t="s">
        <v>11</v>
      </c>
      <c r="B107" t="s">
        <v>22</v>
      </c>
      <c r="C107" t="s">
        <v>21</v>
      </c>
      <c r="D107" t="s">
        <v>10</v>
      </c>
      <c r="E107">
        <v>2</v>
      </c>
      <c r="F107">
        <v>15.36</v>
      </c>
      <c r="G107">
        <v>1.64</v>
      </c>
      <c r="J107">
        <f t="shared" si="3"/>
        <v>1</v>
      </c>
      <c r="K107">
        <f t="shared" si="4"/>
        <v>2</v>
      </c>
      <c r="L107" cm="1">
        <f t="array" ref="L107">_xlfn.IFS(C107="Sat",1,C107="Sun",2,C107="Thur",3,C107="Fri",4)</f>
        <v>1</v>
      </c>
      <c r="M107">
        <f t="shared" si="5"/>
        <v>2</v>
      </c>
      <c r="N107">
        <v>2</v>
      </c>
      <c r="O107">
        <v>15.36</v>
      </c>
      <c r="P107">
        <v>1.64</v>
      </c>
    </row>
    <row r="108" spans="1:16" x14ac:dyDescent="0.3">
      <c r="A108" t="s">
        <v>11</v>
      </c>
      <c r="B108" t="s">
        <v>22</v>
      </c>
      <c r="C108" t="s">
        <v>21</v>
      </c>
      <c r="D108" t="s">
        <v>10</v>
      </c>
      <c r="E108">
        <v>2</v>
      </c>
      <c r="F108">
        <v>20.49</v>
      </c>
      <c r="G108">
        <v>4.0599999999999996</v>
      </c>
      <c r="J108">
        <f t="shared" si="3"/>
        <v>1</v>
      </c>
      <c r="K108">
        <f t="shared" si="4"/>
        <v>2</v>
      </c>
      <c r="L108" cm="1">
        <f t="array" ref="L108">_xlfn.IFS(C108="Sat",1,C108="Sun",2,C108="Thur",3,C108="Fri",4)</f>
        <v>1</v>
      </c>
      <c r="M108">
        <f t="shared" si="5"/>
        <v>2</v>
      </c>
      <c r="N108">
        <v>2</v>
      </c>
      <c r="O108">
        <v>20.49</v>
      </c>
      <c r="P108">
        <v>4.0599999999999996</v>
      </c>
    </row>
    <row r="109" spans="1:16" x14ac:dyDescent="0.3">
      <c r="A109" t="s">
        <v>11</v>
      </c>
      <c r="B109" t="s">
        <v>22</v>
      </c>
      <c r="C109" t="s">
        <v>21</v>
      </c>
      <c r="D109" t="s">
        <v>10</v>
      </c>
      <c r="E109">
        <v>2</v>
      </c>
      <c r="F109">
        <v>25.21</v>
      </c>
      <c r="G109">
        <v>4.29</v>
      </c>
      <c r="J109">
        <f t="shared" si="3"/>
        <v>1</v>
      </c>
      <c r="K109">
        <f t="shared" si="4"/>
        <v>2</v>
      </c>
      <c r="L109" cm="1">
        <f t="array" ref="L109">_xlfn.IFS(C109="Sat",1,C109="Sun",2,C109="Thur",3,C109="Fri",4)</f>
        <v>1</v>
      </c>
      <c r="M109">
        <f t="shared" si="5"/>
        <v>2</v>
      </c>
      <c r="N109">
        <v>2</v>
      </c>
      <c r="O109">
        <v>25.21</v>
      </c>
      <c r="P109">
        <v>4.29</v>
      </c>
    </row>
    <row r="110" spans="1:16" x14ac:dyDescent="0.3">
      <c r="A110" t="s">
        <v>11</v>
      </c>
      <c r="B110" t="s">
        <v>8</v>
      </c>
      <c r="C110" t="s">
        <v>21</v>
      </c>
      <c r="D110" t="s">
        <v>10</v>
      </c>
      <c r="E110">
        <v>2</v>
      </c>
      <c r="F110">
        <v>18.239999999999998</v>
      </c>
      <c r="G110">
        <v>3.76</v>
      </c>
      <c r="J110">
        <f t="shared" si="3"/>
        <v>1</v>
      </c>
      <c r="K110">
        <f t="shared" si="4"/>
        <v>1</v>
      </c>
      <c r="L110" cm="1">
        <f t="array" ref="L110">_xlfn.IFS(C110="Sat",1,C110="Sun",2,C110="Thur",3,C110="Fri",4)</f>
        <v>1</v>
      </c>
      <c r="M110">
        <f t="shared" si="5"/>
        <v>2</v>
      </c>
      <c r="N110">
        <v>2</v>
      </c>
      <c r="O110">
        <v>18.239999999999998</v>
      </c>
      <c r="P110">
        <v>3.76</v>
      </c>
    </row>
    <row r="111" spans="1:16" x14ac:dyDescent="0.3">
      <c r="A111" t="s">
        <v>7</v>
      </c>
      <c r="B111" t="s">
        <v>22</v>
      </c>
      <c r="C111" t="s">
        <v>21</v>
      </c>
      <c r="D111" t="s">
        <v>10</v>
      </c>
      <c r="E111">
        <v>2</v>
      </c>
      <c r="F111">
        <v>14.31</v>
      </c>
      <c r="G111">
        <v>4</v>
      </c>
      <c r="J111">
        <f t="shared" si="3"/>
        <v>2</v>
      </c>
      <c r="K111">
        <f t="shared" si="4"/>
        <v>2</v>
      </c>
      <c r="L111" cm="1">
        <f t="array" ref="L111">_xlfn.IFS(C111="Sat",1,C111="Sun",2,C111="Thur",3,C111="Fri",4)</f>
        <v>1</v>
      </c>
      <c r="M111">
        <f t="shared" si="5"/>
        <v>2</v>
      </c>
      <c r="N111">
        <v>2</v>
      </c>
      <c r="O111">
        <v>14.31</v>
      </c>
      <c r="P111">
        <v>4</v>
      </c>
    </row>
    <row r="112" spans="1:16" x14ac:dyDescent="0.3">
      <c r="A112" t="s">
        <v>11</v>
      </c>
      <c r="B112" t="s">
        <v>8</v>
      </c>
      <c r="C112" t="s">
        <v>21</v>
      </c>
      <c r="D112" t="s">
        <v>10</v>
      </c>
      <c r="E112">
        <v>2</v>
      </c>
      <c r="F112">
        <v>14</v>
      </c>
      <c r="G112">
        <v>3</v>
      </c>
      <c r="J112">
        <f t="shared" si="3"/>
        <v>1</v>
      </c>
      <c r="K112">
        <f t="shared" si="4"/>
        <v>1</v>
      </c>
      <c r="L112" cm="1">
        <f t="array" ref="L112">_xlfn.IFS(C112="Sat",1,C112="Sun",2,C112="Thur",3,C112="Fri",4)</f>
        <v>1</v>
      </c>
      <c r="M112">
        <f t="shared" si="5"/>
        <v>2</v>
      </c>
      <c r="N112">
        <v>2</v>
      </c>
      <c r="O112">
        <v>14</v>
      </c>
      <c r="P112">
        <v>3</v>
      </c>
    </row>
    <row r="113" spans="1:16" x14ac:dyDescent="0.3">
      <c r="A113" t="s">
        <v>7</v>
      </c>
      <c r="B113" t="s">
        <v>8</v>
      </c>
      <c r="C113" t="s">
        <v>21</v>
      </c>
      <c r="D113" t="s">
        <v>10</v>
      </c>
      <c r="E113">
        <v>1</v>
      </c>
      <c r="F113">
        <v>7.25</v>
      </c>
      <c r="G113">
        <v>1</v>
      </c>
      <c r="J113">
        <f t="shared" si="3"/>
        <v>2</v>
      </c>
      <c r="K113">
        <f t="shared" si="4"/>
        <v>1</v>
      </c>
      <c r="L113" cm="1">
        <f t="array" ref="L113">_xlfn.IFS(C113="Sat",1,C113="Sun",2,C113="Thur",3,C113="Fri",4)</f>
        <v>1</v>
      </c>
      <c r="M113">
        <f t="shared" si="5"/>
        <v>2</v>
      </c>
      <c r="N113">
        <v>1</v>
      </c>
      <c r="O113">
        <v>7.25</v>
      </c>
      <c r="P113">
        <v>1</v>
      </c>
    </row>
    <row r="114" spans="1:16" x14ac:dyDescent="0.3">
      <c r="A114" t="s">
        <v>11</v>
      </c>
      <c r="B114" t="s">
        <v>8</v>
      </c>
      <c r="C114" t="s">
        <v>9</v>
      </c>
      <c r="D114" t="s">
        <v>10</v>
      </c>
      <c r="E114">
        <v>3</v>
      </c>
      <c r="F114">
        <v>38.07</v>
      </c>
      <c r="G114">
        <v>4</v>
      </c>
      <c r="J114">
        <f t="shared" si="3"/>
        <v>1</v>
      </c>
      <c r="K114">
        <f t="shared" si="4"/>
        <v>1</v>
      </c>
      <c r="L114" cm="1">
        <f t="array" ref="L114">_xlfn.IFS(C114="Sat",1,C114="Sun",2,C114="Thur",3,C114="Fri",4)</f>
        <v>2</v>
      </c>
      <c r="M114">
        <f t="shared" si="5"/>
        <v>2</v>
      </c>
      <c r="N114">
        <v>3</v>
      </c>
      <c r="O114">
        <v>38.07</v>
      </c>
      <c r="P114">
        <v>4</v>
      </c>
    </row>
    <row r="115" spans="1:16" x14ac:dyDescent="0.3">
      <c r="A115" t="s">
        <v>11</v>
      </c>
      <c r="B115" t="s">
        <v>8</v>
      </c>
      <c r="C115" t="s">
        <v>9</v>
      </c>
      <c r="D115" t="s">
        <v>10</v>
      </c>
      <c r="E115">
        <v>2</v>
      </c>
      <c r="F115">
        <v>23.95</v>
      </c>
      <c r="G115">
        <v>2.5499999999999998</v>
      </c>
      <c r="J115">
        <f t="shared" si="3"/>
        <v>1</v>
      </c>
      <c r="K115">
        <f t="shared" si="4"/>
        <v>1</v>
      </c>
      <c r="L115" cm="1">
        <f t="array" ref="L115">_xlfn.IFS(C115="Sat",1,C115="Sun",2,C115="Thur",3,C115="Fri",4)</f>
        <v>2</v>
      </c>
      <c r="M115">
        <f t="shared" si="5"/>
        <v>2</v>
      </c>
      <c r="N115">
        <v>2</v>
      </c>
      <c r="O115">
        <v>23.95</v>
      </c>
      <c r="P115">
        <v>2.5499999999999998</v>
      </c>
    </row>
    <row r="116" spans="1:16" x14ac:dyDescent="0.3">
      <c r="A116" t="s">
        <v>7</v>
      </c>
      <c r="B116" t="s">
        <v>8</v>
      </c>
      <c r="C116" t="s">
        <v>9</v>
      </c>
      <c r="D116" t="s">
        <v>10</v>
      </c>
      <c r="E116">
        <v>3</v>
      </c>
      <c r="F116">
        <v>25.71</v>
      </c>
      <c r="G116">
        <v>4</v>
      </c>
      <c r="J116">
        <f t="shared" si="3"/>
        <v>2</v>
      </c>
      <c r="K116">
        <f t="shared" si="4"/>
        <v>1</v>
      </c>
      <c r="L116" cm="1">
        <f t="array" ref="L116">_xlfn.IFS(C116="Sat",1,C116="Sun",2,C116="Thur",3,C116="Fri",4)</f>
        <v>2</v>
      </c>
      <c r="M116">
        <f t="shared" si="5"/>
        <v>2</v>
      </c>
      <c r="N116">
        <v>3</v>
      </c>
      <c r="O116">
        <v>25.71</v>
      </c>
      <c r="P116">
        <v>4</v>
      </c>
    </row>
    <row r="117" spans="1:16" x14ac:dyDescent="0.3">
      <c r="A117" t="s">
        <v>7</v>
      </c>
      <c r="B117" t="s">
        <v>8</v>
      </c>
      <c r="C117" t="s">
        <v>9</v>
      </c>
      <c r="D117" t="s">
        <v>10</v>
      </c>
      <c r="E117">
        <v>2</v>
      </c>
      <c r="F117">
        <v>17.309999999999999</v>
      </c>
      <c r="G117">
        <v>3.5</v>
      </c>
      <c r="J117">
        <f t="shared" si="3"/>
        <v>2</v>
      </c>
      <c r="K117">
        <f t="shared" si="4"/>
        <v>1</v>
      </c>
      <c r="L117" cm="1">
        <f t="array" ref="L117">_xlfn.IFS(C117="Sat",1,C117="Sun",2,C117="Thur",3,C117="Fri",4)</f>
        <v>2</v>
      </c>
      <c r="M117">
        <f t="shared" si="5"/>
        <v>2</v>
      </c>
      <c r="N117">
        <v>2</v>
      </c>
      <c r="O117">
        <v>17.309999999999999</v>
      </c>
      <c r="P117">
        <v>3.5</v>
      </c>
    </row>
    <row r="118" spans="1:16" x14ac:dyDescent="0.3">
      <c r="A118" t="s">
        <v>11</v>
      </c>
      <c r="B118" t="s">
        <v>8</v>
      </c>
      <c r="C118" t="s">
        <v>9</v>
      </c>
      <c r="D118" t="s">
        <v>10</v>
      </c>
      <c r="E118">
        <v>4</v>
      </c>
      <c r="F118">
        <v>29.93</v>
      </c>
      <c r="G118">
        <v>5.07</v>
      </c>
      <c r="J118">
        <f t="shared" si="3"/>
        <v>1</v>
      </c>
      <c r="K118">
        <f t="shared" si="4"/>
        <v>1</v>
      </c>
      <c r="L118" cm="1">
        <f t="array" ref="L118">_xlfn.IFS(C118="Sat",1,C118="Sun",2,C118="Thur",3,C118="Fri",4)</f>
        <v>2</v>
      </c>
      <c r="M118">
        <f t="shared" si="5"/>
        <v>2</v>
      </c>
      <c r="N118">
        <v>4</v>
      </c>
      <c r="O118">
        <v>29.93</v>
      </c>
      <c r="P118">
        <v>5.07</v>
      </c>
    </row>
    <row r="119" spans="1:16" x14ac:dyDescent="0.3">
      <c r="A119" t="s">
        <v>7</v>
      </c>
      <c r="B119" t="s">
        <v>8</v>
      </c>
      <c r="C119" t="s">
        <v>23</v>
      </c>
      <c r="D119" t="s">
        <v>24</v>
      </c>
      <c r="E119">
        <v>2</v>
      </c>
      <c r="F119">
        <v>10.65</v>
      </c>
      <c r="G119">
        <v>1.5</v>
      </c>
      <c r="J119">
        <f t="shared" si="3"/>
        <v>2</v>
      </c>
      <c r="K119">
        <f t="shared" si="4"/>
        <v>1</v>
      </c>
      <c r="L119" cm="1">
        <f t="array" ref="L119">_xlfn.IFS(C119="Sat",1,C119="Sun",2,C119="Thur",3,C119="Fri",4)</f>
        <v>3</v>
      </c>
      <c r="M119">
        <f t="shared" si="5"/>
        <v>1</v>
      </c>
      <c r="N119">
        <v>2</v>
      </c>
      <c r="O119">
        <v>10.65</v>
      </c>
      <c r="P119">
        <v>1.5</v>
      </c>
    </row>
    <row r="120" spans="1:16" x14ac:dyDescent="0.3">
      <c r="A120" t="s">
        <v>7</v>
      </c>
      <c r="B120" t="s">
        <v>8</v>
      </c>
      <c r="C120" t="s">
        <v>23</v>
      </c>
      <c r="D120" t="s">
        <v>24</v>
      </c>
      <c r="E120">
        <v>2</v>
      </c>
      <c r="F120">
        <v>12.43</v>
      </c>
      <c r="G120">
        <v>1.8</v>
      </c>
      <c r="J120">
        <f t="shared" si="3"/>
        <v>2</v>
      </c>
      <c r="K120">
        <f t="shared" si="4"/>
        <v>1</v>
      </c>
      <c r="L120" cm="1">
        <f t="array" ref="L120">_xlfn.IFS(C120="Sat",1,C120="Sun",2,C120="Thur",3,C120="Fri",4)</f>
        <v>3</v>
      </c>
      <c r="M120">
        <f t="shared" si="5"/>
        <v>1</v>
      </c>
      <c r="N120">
        <v>2</v>
      </c>
      <c r="O120">
        <v>12.43</v>
      </c>
      <c r="P120">
        <v>1.8</v>
      </c>
    </row>
    <row r="121" spans="1:16" x14ac:dyDescent="0.3">
      <c r="A121" t="s">
        <v>7</v>
      </c>
      <c r="B121" t="s">
        <v>8</v>
      </c>
      <c r="C121" t="s">
        <v>23</v>
      </c>
      <c r="D121" t="s">
        <v>24</v>
      </c>
      <c r="E121">
        <v>4</v>
      </c>
      <c r="F121">
        <v>24.08</v>
      </c>
      <c r="G121">
        <v>2.92</v>
      </c>
      <c r="J121">
        <f t="shared" si="3"/>
        <v>2</v>
      </c>
      <c r="K121">
        <f t="shared" si="4"/>
        <v>1</v>
      </c>
      <c r="L121" cm="1">
        <f t="array" ref="L121">_xlfn.IFS(C121="Sat",1,C121="Sun",2,C121="Thur",3,C121="Fri",4)</f>
        <v>3</v>
      </c>
      <c r="M121">
        <f t="shared" si="5"/>
        <v>1</v>
      </c>
      <c r="N121">
        <v>4</v>
      </c>
      <c r="O121">
        <v>24.08</v>
      </c>
      <c r="P121">
        <v>2.92</v>
      </c>
    </row>
    <row r="122" spans="1:16" x14ac:dyDescent="0.3">
      <c r="A122" t="s">
        <v>11</v>
      </c>
      <c r="B122" t="s">
        <v>8</v>
      </c>
      <c r="C122" t="s">
        <v>23</v>
      </c>
      <c r="D122" t="s">
        <v>24</v>
      </c>
      <c r="E122">
        <v>2</v>
      </c>
      <c r="F122">
        <v>11.69</v>
      </c>
      <c r="G122">
        <v>2.31</v>
      </c>
      <c r="J122">
        <f t="shared" si="3"/>
        <v>1</v>
      </c>
      <c r="K122">
        <f t="shared" si="4"/>
        <v>1</v>
      </c>
      <c r="L122" cm="1">
        <f t="array" ref="L122">_xlfn.IFS(C122="Sat",1,C122="Sun",2,C122="Thur",3,C122="Fri",4)</f>
        <v>3</v>
      </c>
      <c r="M122">
        <f t="shared" si="5"/>
        <v>1</v>
      </c>
      <c r="N122">
        <v>2</v>
      </c>
      <c r="O122">
        <v>11.69</v>
      </c>
      <c r="P122">
        <v>2.31</v>
      </c>
    </row>
    <row r="123" spans="1:16" x14ac:dyDescent="0.3">
      <c r="A123" t="s">
        <v>7</v>
      </c>
      <c r="B123" t="s">
        <v>8</v>
      </c>
      <c r="C123" t="s">
        <v>23</v>
      </c>
      <c r="D123" t="s">
        <v>24</v>
      </c>
      <c r="E123">
        <v>2</v>
      </c>
      <c r="F123">
        <v>13.42</v>
      </c>
      <c r="G123">
        <v>1.68</v>
      </c>
      <c r="J123">
        <f t="shared" si="3"/>
        <v>2</v>
      </c>
      <c r="K123">
        <f t="shared" si="4"/>
        <v>1</v>
      </c>
      <c r="L123" cm="1">
        <f t="array" ref="L123">_xlfn.IFS(C123="Sat",1,C123="Sun",2,C123="Thur",3,C123="Fri",4)</f>
        <v>3</v>
      </c>
      <c r="M123">
        <f t="shared" si="5"/>
        <v>1</v>
      </c>
      <c r="N123">
        <v>2</v>
      </c>
      <c r="O123">
        <v>13.42</v>
      </c>
      <c r="P123">
        <v>1.68</v>
      </c>
    </row>
    <row r="124" spans="1:16" x14ac:dyDescent="0.3">
      <c r="A124" t="s">
        <v>11</v>
      </c>
      <c r="B124" t="s">
        <v>8</v>
      </c>
      <c r="C124" t="s">
        <v>23</v>
      </c>
      <c r="D124" t="s">
        <v>24</v>
      </c>
      <c r="E124">
        <v>2</v>
      </c>
      <c r="F124">
        <v>14.26</v>
      </c>
      <c r="G124">
        <v>2.5</v>
      </c>
      <c r="J124">
        <f t="shared" si="3"/>
        <v>1</v>
      </c>
      <c r="K124">
        <f t="shared" si="4"/>
        <v>1</v>
      </c>
      <c r="L124" cm="1">
        <f t="array" ref="L124">_xlfn.IFS(C124="Sat",1,C124="Sun",2,C124="Thur",3,C124="Fri",4)</f>
        <v>3</v>
      </c>
      <c r="M124">
        <f t="shared" si="5"/>
        <v>1</v>
      </c>
      <c r="N124">
        <v>2</v>
      </c>
      <c r="O124">
        <v>14.26</v>
      </c>
      <c r="P124">
        <v>2.5</v>
      </c>
    </row>
    <row r="125" spans="1:16" x14ac:dyDescent="0.3">
      <c r="A125" t="s">
        <v>11</v>
      </c>
      <c r="B125" t="s">
        <v>8</v>
      </c>
      <c r="C125" t="s">
        <v>23</v>
      </c>
      <c r="D125" t="s">
        <v>24</v>
      </c>
      <c r="E125">
        <v>2</v>
      </c>
      <c r="F125">
        <v>15.95</v>
      </c>
      <c r="G125">
        <v>2</v>
      </c>
      <c r="J125">
        <f t="shared" si="3"/>
        <v>1</v>
      </c>
      <c r="K125">
        <f t="shared" si="4"/>
        <v>1</v>
      </c>
      <c r="L125" cm="1">
        <f t="array" ref="L125">_xlfn.IFS(C125="Sat",1,C125="Sun",2,C125="Thur",3,C125="Fri",4)</f>
        <v>3</v>
      </c>
      <c r="M125">
        <f t="shared" si="5"/>
        <v>1</v>
      </c>
      <c r="N125">
        <v>2</v>
      </c>
      <c r="O125">
        <v>15.95</v>
      </c>
      <c r="P125">
        <v>2</v>
      </c>
    </row>
    <row r="126" spans="1:16" x14ac:dyDescent="0.3">
      <c r="A126" t="s">
        <v>7</v>
      </c>
      <c r="B126" t="s">
        <v>8</v>
      </c>
      <c r="C126" t="s">
        <v>23</v>
      </c>
      <c r="D126" t="s">
        <v>24</v>
      </c>
      <c r="E126">
        <v>2</v>
      </c>
      <c r="F126">
        <v>12.48</v>
      </c>
      <c r="G126">
        <v>2.52</v>
      </c>
      <c r="J126">
        <f t="shared" si="3"/>
        <v>2</v>
      </c>
      <c r="K126">
        <f t="shared" si="4"/>
        <v>1</v>
      </c>
      <c r="L126" cm="1">
        <f t="array" ref="L126">_xlfn.IFS(C126="Sat",1,C126="Sun",2,C126="Thur",3,C126="Fri",4)</f>
        <v>3</v>
      </c>
      <c r="M126">
        <f t="shared" si="5"/>
        <v>1</v>
      </c>
      <c r="N126">
        <v>2</v>
      </c>
      <c r="O126">
        <v>12.48</v>
      </c>
      <c r="P126">
        <v>2.52</v>
      </c>
    </row>
    <row r="127" spans="1:16" x14ac:dyDescent="0.3">
      <c r="A127" t="s">
        <v>7</v>
      </c>
      <c r="B127" t="s">
        <v>8</v>
      </c>
      <c r="C127" t="s">
        <v>23</v>
      </c>
      <c r="D127" t="s">
        <v>24</v>
      </c>
      <c r="E127">
        <v>6</v>
      </c>
      <c r="F127">
        <v>29.8</v>
      </c>
      <c r="G127">
        <v>4.2</v>
      </c>
      <c r="J127">
        <f t="shared" si="3"/>
        <v>2</v>
      </c>
      <c r="K127">
        <f t="shared" si="4"/>
        <v>1</v>
      </c>
      <c r="L127" cm="1">
        <f t="array" ref="L127">_xlfn.IFS(C127="Sat",1,C127="Sun",2,C127="Thur",3,C127="Fri",4)</f>
        <v>3</v>
      </c>
      <c r="M127">
        <f t="shared" si="5"/>
        <v>1</v>
      </c>
      <c r="N127">
        <v>6</v>
      </c>
      <c r="O127">
        <v>29.8</v>
      </c>
      <c r="P127">
        <v>4.2</v>
      </c>
    </row>
    <row r="128" spans="1:16" x14ac:dyDescent="0.3">
      <c r="A128" t="s">
        <v>11</v>
      </c>
      <c r="B128" t="s">
        <v>8</v>
      </c>
      <c r="C128" t="s">
        <v>23</v>
      </c>
      <c r="D128" t="s">
        <v>24</v>
      </c>
      <c r="E128">
        <v>2</v>
      </c>
      <c r="F128">
        <v>8.52</v>
      </c>
      <c r="G128">
        <v>1.48</v>
      </c>
      <c r="J128">
        <f t="shared" si="3"/>
        <v>1</v>
      </c>
      <c r="K128">
        <f t="shared" si="4"/>
        <v>1</v>
      </c>
      <c r="L128" cm="1">
        <f t="array" ref="L128">_xlfn.IFS(C128="Sat",1,C128="Sun",2,C128="Thur",3,C128="Fri",4)</f>
        <v>3</v>
      </c>
      <c r="M128">
        <f t="shared" si="5"/>
        <v>1</v>
      </c>
      <c r="N128">
        <v>2</v>
      </c>
      <c r="O128">
        <v>8.52</v>
      </c>
      <c r="P128">
        <v>1.48</v>
      </c>
    </row>
    <row r="129" spans="1:16" x14ac:dyDescent="0.3">
      <c r="A129" t="s">
        <v>7</v>
      </c>
      <c r="B129" t="s">
        <v>8</v>
      </c>
      <c r="C129" t="s">
        <v>23</v>
      </c>
      <c r="D129" t="s">
        <v>24</v>
      </c>
      <c r="E129">
        <v>2</v>
      </c>
      <c r="F129">
        <v>14.52</v>
      </c>
      <c r="G129">
        <v>2</v>
      </c>
      <c r="J129">
        <f t="shared" si="3"/>
        <v>2</v>
      </c>
      <c r="K129">
        <f t="shared" si="4"/>
        <v>1</v>
      </c>
      <c r="L129" cm="1">
        <f t="array" ref="L129">_xlfn.IFS(C129="Sat",1,C129="Sun",2,C129="Thur",3,C129="Fri",4)</f>
        <v>3</v>
      </c>
      <c r="M129">
        <f t="shared" si="5"/>
        <v>1</v>
      </c>
      <c r="N129">
        <v>2</v>
      </c>
      <c r="O129">
        <v>14.52</v>
      </c>
      <c r="P129">
        <v>2</v>
      </c>
    </row>
    <row r="130" spans="1:16" x14ac:dyDescent="0.3">
      <c r="A130" t="s">
        <v>7</v>
      </c>
      <c r="B130" t="s">
        <v>8</v>
      </c>
      <c r="C130" t="s">
        <v>23</v>
      </c>
      <c r="D130" t="s">
        <v>24</v>
      </c>
      <c r="E130">
        <v>2</v>
      </c>
      <c r="F130">
        <v>11.38</v>
      </c>
      <c r="G130">
        <v>2</v>
      </c>
      <c r="J130">
        <f t="shared" si="3"/>
        <v>2</v>
      </c>
      <c r="K130">
        <f t="shared" si="4"/>
        <v>1</v>
      </c>
      <c r="L130" cm="1">
        <f t="array" ref="L130">_xlfn.IFS(C130="Sat",1,C130="Sun",2,C130="Thur",3,C130="Fri",4)</f>
        <v>3</v>
      </c>
      <c r="M130">
        <f t="shared" si="5"/>
        <v>1</v>
      </c>
      <c r="N130">
        <v>2</v>
      </c>
      <c r="O130">
        <v>11.38</v>
      </c>
      <c r="P130">
        <v>2</v>
      </c>
    </row>
    <row r="131" spans="1:16" x14ac:dyDescent="0.3">
      <c r="A131" t="s">
        <v>11</v>
      </c>
      <c r="B131" t="s">
        <v>8</v>
      </c>
      <c r="C131" t="s">
        <v>23</v>
      </c>
      <c r="D131" t="s">
        <v>24</v>
      </c>
      <c r="E131">
        <v>3</v>
      </c>
      <c r="F131">
        <v>22.82</v>
      </c>
      <c r="G131">
        <v>2.1800000000000002</v>
      </c>
      <c r="J131">
        <f t="shared" ref="J131:J194" si="6">IF(A131 = "Female",2,1)</f>
        <v>1</v>
      </c>
      <c r="K131">
        <f t="shared" ref="K131:K194" si="7">IF(B131="No",1,2)</f>
        <v>1</v>
      </c>
      <c r="L131" cm="1">
        <f t="array" ref="L131">_xlfn.IFS(C131="Sat",1,C131="Sun",2,C131="Thur",3,C131="Fri",4)</f>
        <v>3</v>
      </c>
      <c r="M131">
        <f t="shared" ref="M131:M194" si="8">IF(D131="Lunch",1,2)</f>
        <v>1</v>
      </c>
      <c r="N131">
        <v>3</v>
      </c>
      <c r="O131">
        <v>22.82</v>
      </c>
      <c r="P131">
        <v>2.1800000000000002</v>
      </c>
    </row>
    <row r="132" spans="1:16" x14ac:dyDescent="0.3">
      <c r="A132" t="s">
        <v>11</v>
      </c>
      <c r="B132" t="s">
        <v>8</v>
      </c>
      <c r="C132" t="s">
        <v>23</v>
      </c>
      <c r="D132" t="s">
        <v>24</v>
      </c>
      <c r="E132">
        <v>2</v>
      </c>
      <c r="F132">
        <v>19.079999999999998</v>
      </c>
      <c r="G132">
        <v>1.5</v>
      </c>
      <c r="J132">
        <f t="shared" si="6"/>
        <v>1</v>
      </c>
      <c r="K132">
        <f t="shared" si="7"/>
        <v>1</v>
      </c>
      <c r="L132" cm="1">
        <f t="array" ref="L132">_xlfn.IFS(C132="Sat",1,C132="Sun",2,C132="Thur",3,C132="Fri",4)</f>
        <v>3</v>
      </c>
      <c r="M132">
        <f t="shared" si="8"/>
        <v>1</v>
      </c>
      <c r="N132">
        <v>2</v>
      </c>
      <c r="O132">
        <v>19.079999999999998</v>
      </c>
      <c r="P132">
        <v>1.5</v>
      </c>
    </row>
    <row r="133" spans="1:16" x14ac:dyDescent="0.3">
      <c r="A133" t="s">
        <v>7</v>
      </c>
      <c r="B133" t="s">
        <v>8</v>
      </c>
      <c r="C133" t="s">
        <v>23</v>
      </c>
      <c r="D133" t="s">
        <v>24</v>
      </c>
      <c r="E133">
        <v>2</v>
      </c>
      <c r="F133">
        <v>20.27</v>
      </c>
      <c r="G133">
        <v>2.83</v>
      </c>
      <c r="J133">
        <f t="shared" si="6"/>
        <v>2</v>
      </c>
      <c r="K133">
        <f t="shared" si="7"/>
        <v>1</v>
      </c>
      <c r="L133" cm="1">
        <f t="array" ref="L133">_xlfn.IFS(C133="Sat",1,C133="Sun",2,C133="Thur",3,C133="Fri",4)</f>
        <v>3</v>
      </c>
      <c r="M133">
        <f t="shared" si="8"/>
        <v>1</v>
      </c>
      <c r="N133">
        <v>2</v>
      </c>
      <c r="O133">
        <v>20.27</v>
      </c>
      <c r="P133">
        <v>2.83</v>
      </c>
    </row>
    <row r="134" spans="1:16" x14ac:dyDescent="0.3">
      <c r="A134" t="s">
        <v>7</v>
      </c>
      <c r="B134" t="s">
        <v>8</v>
      </c>
      <c r="C134" t="s">
        <v>23</v>
      </c>
      <c r="D134" t="s">
        <v>24</v>
      </c>
      <c r="E134">
        <v>2</v>
      </c>
      <c r="F134">
        <v>11.17</v>
      </c>
      <c r="G134">
        <v>1.5</v>
      </c>
      <c r="J134">
        <f t="shared" si="6"/>
        <v>2</v>
      </c>
      <c r="K134">
        <f t="shared" si="7"/>
        <v>1</v>
      </c>
      <c r="L134" cm="1">
        <f t="array" ref="L134">_xlfn.IFS(C134="Sat",1,C134="Sun",2,C134="Thur",3,C134="Fri",4)</f>
        <v>3</v>
      </c>
      <c r="M134">
        <f t="shared" si="8"/>
        <v>1</v>
      </c>
      <c r="N134">
        <v>2</v>
      </c>
      <c r="O134">
        <v>11.17</v>
      </c>
      <c r="P134">
        <v>1.5</v>
      </c>
    </row>
    <row r="135" spans="1:16" x14ac:dyDescent="0.3">
      <c r="A135" t="s">
        <v>7</v>
      </c>
      <c r="B135" t="s">
        <v>8</v>
      </c>
      <c r="C135" t="s">
        <v>23</v>
      </c>
      <c r="D135" t="s">
        <v>24</v>
      </c>
      <c r="E135">
        <v>2</v>
      </c>
      <c r="F135">
        <v>12.26</v>
      </c>
      <c r="G135">
        <v>2</v>
      </c>
      <c r="J135">
        <f t="shared" si="6"/>
        <v>2</v>
      </c>
      <c r="K135">
        <f t="shared" si="7"/>
        <v>1</v>
      </c>
      <c r="L135" cm="1">
        <f t="array" ref="L135">_xlfn.IFS(C135="Sat",1,C135="Sun",2,C135="Thur",3,C135="Fri",4)</f>
        <v>3</v>
      </c>
      <c r="M135">
        <f t="shared" si="8"/>
        <v>1</v>
      </c>
      <c r="N135">
        <v>2</v>
      </c>
      <c r="O135">
        <v>12.26</v>
      </c>
      <c r="P135">
        <v>2</v>
      </c>
    </row>
    <row r="136" spans="1:16" x14ac:dyDescent="0.3">
      <c r="A136" t="s">
        <v>7</v>
      </c>
      <c r="B136" t="s">
        <v>8</v>
      </c>
      <c r="C136" t="s">
        <v>23</v>
      </c>
      <c r="D136" t="s">
        <v>24</v>
      </c>
      <c r="E136">
        <v>2</v>
      </c>
      <c r="F136">
        <v>18.260000000000002</v>
      </c>
      <c r="G136">
        <v>3.25</v>
      </c>
      <c r="J136">
        <f t="shared" si="6"/>
        <v>2</v>
      </c>
      <c r="K136">
        <f t="shared" si="7"/>
        <v>1</v>
      </c>
      <c r="L136" cm="1">
        <f t="array" ref="L136">_xlfn.IFS(C136="Sat",1,C136="Sun",2,C136="Thur",3,C136="Fri",4)</f>
        <v>3</v>
      </c>
      <c r="M136">
        <f t="shared" si="8"/>
        <v>1</v>
      </c>
      <c r="N136">
        <v>2</v>
      </c>
      <c r="O136">
        <v>18.260000000000002</v>
      </c>
      <c r="P136">
        <v>3.25</v>
      </c>
    </row>
    <row r="137" spans="1:16" x14ac:dyDescent="0.3">
      <c r="A137" t="s">
        <v>7</v>
      </c>
      <c r="B137" t="s">
        <v>8</v>
      </c>
      <c r="C137" t="s">
        <v>23</v>
      </c>
      <c r="D137" t="s">
        <v>24</v>
      </c>
      <c r="E137">
        <v>2</v>
      </c>
      <c r="F137">
        <v>8.51</v>
      </c>
      <c r="G137">
        <v>1.25</v>
      </c>
      <c r="J137">
        <f t="shared" si="6"/>
        <v>2</v>
      </c>
      <c r="K137">
        <f t="shared" si="7"/>
        <v>1</v>
      </c>
      <c r="L137" cm="1">
        <f t="array" ref="L137">_xlfn.IFS(C137="Sat",1,C137="Sun",2,C137="Thur",3,C137="Fri",4)</f>
        <v>3</v>
      </c>
      <c r="M137">
        <f t="shared" si="8"/>
        <v>1</v>
      </c>
      <c r="N137">
        <v>2</v>
      </c>
      <c r="O137">
        <v>8.51</v>
      </c>
      <c r="P137">
        <v>1.25</v>
      </c>
    </row>
    <row r="138" spans="1:16" x14ac:dyDescent="0.3">
      <c r="A138" t="s">
        <v>7</v>
      </c>
      <c r="B138" t="s">
        <v>8</v>
      </c>
      <c r="C138" t="s">
        <v>23</v>
      </c>
      <c r="D138" t="s">
        <v>24</v>
      </c>
      <c r="E138">
        <v>2</v>
      </c>
      <c r="F138">
        <v>10.33</v>
      </c>
      <c r="G138">
        <v>2</v>
      </c>
      <c r="J138">
        <f t="shared" si="6"/>
        <v>2</v>
      </c>
      <c r="K138">
        <f t="shared" si="7"/>
        <v>1</v>
      </c>
      <c r="L138" cm="1">
        <f t="array" ref="L138">_xlfn.IFS(C138="Sat",1,C138="Sun",2,C138="Thur",3,C138="Fri",4)</f>
        <v>3</v>
      </c>
      <c r="M138">
        <f t="shared" si="8"/>
        <v>1</v>
      </c>
      <c r="N138">
        <v>2</v>
      </c>
      <c r="O138">
        <v>10.33</v>
      </c>
      <c r="P138">
        <v>2</v>
      </c>
    </row>
    <row r="139" spans="1:16" x14ac:dyDescent="0.3">
      <c r="A139" t="s">
        <v>7</v>
      </c>
      <c r="B139" t="s">
        <v>8</v>
      </c>
      <c r="C139" t="s">
        <v>23</v>
      </c>
      <c r="D139" t="s">
        <v>24</v>
      </c>
      <c r="E139">
        <v>2</v>
      </c>
      <c r="F139">
        <v>14.15</v>
      </c>
      <c r="G139">
        <v>2</v>
      </c>
      <c r="J139">
        <f t="shared" si="6"/>
        <v>2</v>
      </c>
      <c r="K139">
        <f t="shared" si="7"/>
        <v>1</v>
      </c>
      <c r="L139" cm="1">
        <f t="array" ref="L139">_xlfn.IFS(C139="Sat",1,C139="Sun",2,C139="Thur",3,C139="Fri",4)</f>
        <v>3</v>
      </c>
      <c r="M139">
        <f t="shared" si="8"/>
        <v>1</v>
      </c>
      <c r="N139">
        <v>2</v>
      </c>
      <c r="O139">
        <v>14.15</v>
      </c>
      <c r="P139">
        <v>2</v>
      </c>
    </row>
    <row r="140" spans="1:16" x14ac:dyDescent="0.3">
      <c r="A140" t="s">
        <v>11</v>
      </c>
      <c r="B140" t="s">
        <v>22</v>
      </c>
      <c r="C140" t="s">
        <v>23</v>
      </c>
      <c r="D140" t="s">
        <v>24</v>
      </c>
      <c r="E140">
        <v>2</v>
      </c>
      <c r="F140">
        <v>16</v>
      </c>
      <c r="G140">
        <v>2</v>
      </c>
      <c r="J140">
        <f t="shared" si="6"/>
        <v>1</v>
      </c>
      <c r="K140">
        <f t="shared" si="7"/>
        <v>2</v>
      </c>
      <c r="L140" cm="1">
        <f t="array" ref="L140">_xlfn.IFS(C140="Sat",1,C140="Sun",2,C140="Thur",3,C140="Fri",4)</f>
        <v>3</v>
      </c>
      <c r="M140">
        <f t="shared" si="8"/>
        <v>1</v>
      </c>
      <c r="N140">
        <v>2</v>
      </c>
      <c r="O140">
        <v>16</v>
      </c>
      <c r="P140">
        <v>2</v>
      </c>
    </row>
    <row r="141" spans="1:16" x14ac:dyDescent="0.3">
      <c r="A141" t="s">
        <v>7</v>
      </c>
      <c r="B141" t="s">
        <v>8</v>
      </c>
      <c r="C141" t="s">
        <v>23</v>
      </c>
      <c r="D141" t="s">
        <v>24</v>
      </c>
      <c r="E141">
        <v>2</v>
      </c>
      <c r="F141">
        <v>13.16</v>
      </c>
      <c r="G141">
        <v>2.75</v>
      </c>
      <c r="J141">
        <f t="shared" si="6"/>
        <v>2</v>
      </c>
      <c r="K141">
        <f t="shared" si="7"/>
        <v>1</v>
      </c>
      <c r="L141" cm="1">
        <f t="array" ref="L141">_xlfn.IFS(C141="Sat",1,C141="Sun",2,C141="Thur",3,C141="Fri",4)</f>
        <v>3</v>
      </c>
      <c r="M141">
        <f t="shared" si="8"/>
        <v>1</v>
      </c>
      <c r="N141">
        <v>2</v>
      </c>
      <c r="O141">
        <v>13.16</v>
      </c>
      <c r="P141">
        <v>2.75</v>
      </c>
    </row>
    <row r="142" spans="1:16" x14ac:dyDescent="0.3">
      <c r="A142" t="s">
        <v>7</v>
      </c>
      <c r="B142" t="s">
        <v>8</v>
      </c>
      <c r="C142" t="s">
        <v>23</v>
      </c>
      <c r="D142" t="s">
        <v>24</v>
      </c>
      <c r="E142">
        <v>2</v>
      </c>
      <c r="F142">
        <v>17.47</v>
      </c>
      <c r="G142">
        <v>3.5</v>
      </c>
      <c r="J142">
        <f t="shared" si="6"/>
        <v>2</v>
      </c>
      <c r="K142">
        <f t="shared" si="7"/>
        <v>1</v>
      </c>
      <c r="L142" cm="1">
        <f t="array" ref="L142">_xlfn.IFS(C142="Sat",1,C142="Sun",2,C142="Thur",3,C142="Fri",4)</f>
        <v>3</v>
      </c>
      <c r="M142">
        <f t="shared" si="8"/>
        <v>1</v>
      </c>
      <c r="N142">
        <v>2</v>
      </c>
      <c r="O142">
        <v>17.47</v>
      </c>
      <c r="P142">
        <v>3.5</v>
      </c>
    </row>
    <row r="143" spans="1:16" x14ac:dyDescent="0.3">
      <c r="A143" t="s">
        <v>11</v>
      </c>
      <c r="B143" t="s">
        <v>8</v>
      </c>
      <c r="C143" t="s">
        <v>23</v>
      </c>
      <c r="D143" t="s">
        <v>24</v>
      </c>
      <c r="E143">
        <v>6</v>
      </c>
      <c r="F143">
        <v>34.299999999999997</v>
      </c>
      <c r="G143">
        <v>6.7</v>
      </c>
      <c r="J143">
        <f t="shared" si="6"/>
        <v>1</v>
      </c>
      <c r="K143">
        <f t="shared" si="7"/>
        <v>1</v>
      </c>
      <c r="L143" cm="1">
        <f t="array" ref="L143">_xlfn.IFS(C143="Sat",1,C143="Sun",2,C143="Thur",3,C143="Fri",4)</f>
        <v>3</v>
      </c>
      <c r="M143">
        <f t="shared" si="8"/>
        <v>1</v>
      </c>
      <c r="N143">
        <v>6</v>
      </c>
      <c r="O143">
        <v>34.299999999999997</v>
      </c>
      <c r="P143">
        <v>6.7</v>
      </c>
    </row>
    <row r="144" spans="1:16" x14ac:dyDescent="0.3">
      <c r="A144" t="s">
        <v>11</v>
      </c>
      <c r="B144" t="s">
        <v>8</v>
      </c>
      <c r="C144" t="s">
        <v>23</v>
      </c>
      <c r="D144" t="s">
        <v>24</v>
      </c>
      <c r="E144">
        <v>5</v>
      </c>
      <c r="F144">
        <v>41.19</v>
      </c>
      <c r="G144">
        <v>5</v>
      </c>
      <c r="J144">
        <f t="shared" si="6"/>
        <v>1</v>
      </c>
      <c r="K144">
        <f t="shared" si="7"/>
        <v>1</v>
      </c>
      <c r="L144" cm="1">
        <f t="array" ref="L144">_xlfn.IFS(C144="Sat",1,C144="Sun",2,C144="Thur",3,C144="Fri",4)</f>
        <v>3</v>
      </c>
      <c r="M144">
        <f t="shared" si="8"/>
        <v>1</v>
      </c>
      <c r="N144">
        <v>5</v>
      </c>
      <c r="O144">
        <v>41.19</v>
      </c>
      <c r="P144">
        <v>5</v>
      </c>
    </row>
    <row r="145" spans="1:16" x14ac:dyDescent="0.3">
      <c r="A145" t="s">
        <v>7</v>
      </c>
      <c r="B145" t="s">
        <v>8</v>
      </c>
      <c r="C145" t="s">
        <v>23</v>
      </c>
      <c r="D145" t="s">
        <v>24</v>
      </c>
      <c r="E145">
        <v>6</v>
      </c>
      <c r="F145">
        <v>27.05</v>
      </c>
      <c r="G145">
        <v>5</v>
      </c>
      <c r="J145">
        <f t="shared" si="6"/>
        <v>2</v>
      </c>
      <c r="K145">
        <f t="shared" si="7"/>
        <v>1</v>
      </c>
      <c r="L145" cm="1">
        <f t="array" ref="L145">_xlfn.IFS(C145="Sat",1,C145="Sun",2,C145="Thur",3,C145="Fri",4)</f>
        <v>3</v>
      </c>
      <c r="M145">
        <f t="shared" si="8"/>
        <v>1</v>
      </c>
      <c r="N145">
        <v>6</v>
      </c>
      <c r="O145">
        <v>27.05</v>
      </c>
      <c r="P145">
        <v>5</v>
      </c>
    </row>
    <row r="146" spans="1:16" x14ac:dyDescent="0.3">
      <c r="A146" t="s">
        <v>7</v>
      </c>
      <c r="B146" t="s">
        <v>8</v>
      </c>
      <c r="C146" t="s">
        <v>23</v>
      </c>
      <c r="D146" t="s">
        <v>24</v>
      </c>
      <c r="E146">
        <v>2</v>
      </c>
      <c r="F146">
        <v>16.43</v>
      </c>
      <c r="G146">
        <v>2.2999999999999998</v>
      </c>
      <c r="J146">
        <f t="shared" si="6"/>
        <v>2</v>
      </c>
      <c r="K146">
        <f t="shared" si="7"/>
        <v>1</v>
      </c>
      <c r="L146" cm="1">
        <f t="array" ref="L146">_xlfn.IFS(C146="Sat",1,C146="Sun",2,C146="Thur",3,C146="Fri",4)</f>
        <v>3</v>
      </c>
      <c r="M146">
        <f t="shared" si="8"/>
        <v>1</v>
      </c>
      <c r="N146">
        <v>2</v>
      </c>
      <c r="O146">
        <v>16.43</v>
      </c>
      <c r="P146">
        <v>2.2999999999999998</v>
      </c>
    </row>
    <row r="147" spans="1:16" x14ac:dyDescent="0.3">
      <c r="A147" t="s">
        <v>7</v>
      </c>
      <c r="B147" t="s">
        <v>8</v>
      </c>
      <c r="C147" t="s">
        <v>23</v>
      </c>
      <c r="D147" t="s">
        <v>24</v>
      </c>
      <c r="E147">
        <v>2</v>
      </c>
      <c r="F147">
        <v>8.35</v>
      </c>
      <c r="G147">
        <v>1.5</v>
      </c>
      <c r="J147">
        <f t="shared" si="6"/>
        <v>2</v>
      </c>
      <c r="K147">
        <f t="shared" si="7"/>
        <v>1</v>
      </c>
      <c r="L147" cm="1">
        <f t="array" ref="L147">_xlfn.IFS(C147="Sat",1,C147="Sun",2,C147="Thur",3,C147="Fri",4)</f>
        <v>3</v>
      </c>
      <c r="M147">
        <f t="shared" si="8"/>
        <v>1</v>
      </c>
      <c r="N147">
        <v>2</v>
      </c>
      <c r="O147">
        <v>8.35</v>
      </c>
      <c r="P147">
        <v>1.5</v>
      </c>
    </row>
    <row r="148" spans="1:16" x14ac:dyDescent="0.3">
      <c r="A148" t="s">
        <v>7</v>
      </c>
      <c r="B148" t="s">
        <v>8</v>
      </c>
      <c r="C148" t="s">
        <v>23</v>
      </c>
      <c r="D148" t="s">
        <v>24</v>
      </c>
      <c r="E148">
        <v>3</v>
      </c>
      <c r="F148">
        <v>18.64</v>
      </c>
      <c r="G148">
        <v>1.36</v>
      </c>
      <c r="J148">
        <f t="shared" si="6"/>
        <v>2</v>
      </c>
      <c r="K148">
        <f t="shared" si="7"/>
        <v>1</v>
      </c>
      <c r="L148" cm="1">
        <f t="array" ref="L148">_xlfn.IFS(C148="Sat",1,C148="Sun",2,C148="Thur",3,C148="Fri",4)</f>
        <v>3</v>
      </c>
      <c r="M148">
        <f t="shared" si="8"/>
        <v>1</v>
      </c>
      <c r="N148">
        <v>3</v>
      </c>
      <c r="O148">
        <v>18.64</v>
      </c>
      <c r="P148">
        <v>1.36</v>
      </c>
    </row>
    <row r="149" spans="1:16" x14ac:dyDescent="0.3">
      <c r="A149" t="s">
        <v>7</v>
      </c>
      <c r="B149" t="s">
        <v>8</v>
      </c>
      <c r="C149" t="s">
        <v>23</v>
      </c>
      <c r="D149" t="s">
        <v>24</v>
      </c>
      <c r="E149">
        <v>2</v>
      </c>
      <c r="F149">
        <v>11.87</v>
      </c>
      <c r="G149">
        <v>1.63</v>
      </c>
      <c r="J149">
        <f t="shared" si="6"/>
        <v>2</v>
      </c>
      <c r="K149">
        <f t="shared" si="7"/>
        <v>1</v>
      </c>
      <c r="L149" cm="1">
        <f t="array" ref="L149">_xlfn.IFS(C149="Sat",1,C149="Sun",2,C149="Thur",3,C149="Fri",4)</f>
        <v>3</v>
      </c>
      <c r="M149">
        <f t="shared" si="8"/>
        <v>1</v>
      </c>
      <c r="N149">
        <v>2</v>
      </c>
      <c r="O149">
        <v>11.87</v>
      </c>
      <c r="P149">
        <v>1.63</v>
      </c>
    </row>
    <row r="150" spans="1:16" x14ac:dyDescent="0.3">
      <c r="A150" t="s">
        <v>11</v>
      </c>
      <c r="B150" t="s">
        <v>8</v>
      </c>
      <c r="C150" t="s">
        <v>23</v>
      </c>
      <c r="D150" t="s">
        <v>24</v>
      </c>
      <c r="E150">
        <v>2</v>
      </c>
      <c r="F150">
        <v>9.7799999999999994</v>
      </c>
      <c r="G150">
        <v>1.73</v>
      </c>
      <c r="J150">
        <f t="shared" si="6"/>
        <v>1</v>
      </c>
      <c r="K150">
        <f t="shared" si="7"/>
        <v>1</v>
      </c>
      <c r="L150" cm="1">
        <f t="array" ref="L150">_xlfn.IFS(C150="Sat",1,C150="Sun",2,C150="Thur",3,C150="Fri",4)</f>
        <v>3</v>
      </c>
      <c r="M150">
        <f t="shared" si="8"/>
        <v>1</v>
      </c>
      <c r="N150">
        <v>2</v>
      </c>
      <c r="O150">
        <v>9.7799999999999994</v>
      </c>
      <c r="P150">
        <v>1.73</v>
      </c>
    </row>
    <row r="151" spans="1:16" x14ac:dyDescent="0.3">
      <c r="A151" t="s">
        <v>11</v>
      </c>
      <c r="B151" t="s">
        <v>8</v>
      </c>
      <c r="C151" t="s">
        <v>23</v>
      </c>
      <c r="D151" t="s">
        <v>24</v>
      </c>
      <c r="E151">
        <v>2</v>
      </c>
      <c r="F151">
        <v>7.51</v>
      </c>
      <c r="G151">
        <v>2</v>
      </c>
      <c r="J151">
        <f t="shared" si="6"/>
        <v>1</v>
      </c>
      <c r="K151">
        <f t="shared" si="7"/>
        <v>1</v>
      </c>
      <c r="L151" cm="1">
        <f t="array" ref="L151">_xlfn.IFS(C151="Sat",1,C151="Sun",2,C151="Thur",3,C151="Fri",4)</f>
        <v>3</v>
      </c>
      <c r="M151">
        <f t="shared" si="8"/>
        <v>1</v>
      </c>
      <c r="N151">
        <v>2</v>
      </c>
      <c r="O151">
        <v>7.51</v>
      </c>
      <c r="P151">
        <v>2</v>
      </c>
    </row>
    <row r="152" spans="1:16" x14ac:dyDescent="0.3">
      <c r="A152" t="s">
        <v>11</v>
      </c>
      <c r="B152" t="s">
        <v>8</v>
      </c>
      <c r="C152" t="s">
        <v>9</v>
      </c>
      <c r="D152" t="s">
        <v>10</v>
      </c>
      <c r="E152">
        <v>2</v>
      </c>
      <c r="F152">
        <v>14.07</v>
      </c>
      <c r="G152">
        <v>2.5</v>
      </c>
      <c r="J152">
        <f t="shared" si="6"/>
        <v>1</v>
      </c>
      <c r="K152">
        <f t="shared" si="7"/>
        <v>1</v>
      </c>
      <c r="L152" cm="1">
        <f t="array" ref="L152">_xlfn.IFS(C152="Sat",1,C152="Sun",2,C152="Thur",3,C152="Fri",4)</f>
        <v>2</v>
      </c>
      <c r="M152">
        <f t="shared" si="8"/>
        <v>2</v>
      </c>
      <c r="N152">
        <v>2</v>
      </c>
      <c r="O152">
        <v>14.07</v>
      </c>
      <c r="P152">
        <v>2.5</v>
      </c>
    </row>
    <row r="153" spans="1:16" x14ac:dyDescent="0.3">
      <c r="A153" t="s">
        <v>11</v>
      </c>
      <c r="B153" t="s">
        <v>8</v>
      </c>
      <c r="C153" t="s">
        <v>9</v>
      </c>
      <c r="D153" t="s">
        <v>10</v>
      </c>
      <c r="E153">
        <v>2</v>
      </c>
      <c r="F153">
        <v>13.13</v>
      </c>
      <c r="G153">
        <v>2</v>
      </c>
      <c r="J153">
        <f t="shared" si="6"/>
        <v>1</v>
      </c>
      <c r="K153">
        <f t="shared" si="7"/>
        <v>1</v>
      </c>
      <c r="L153" cm="1">
        <f t="array" ref="L153">_xlfn.IFS(C153="Sat",1,C153="Sun",2,C153="Thur",3,C153="Fri",4)</f>
        <v>2</v>
      </c>
      <c r="M153">
        <f t="shared" si="8"/>
        <v>2</v>
      </c>
      <c r="N153">
        <v>2</v>
      </c>
      <c r="O153">
        <v>13.13</v>
      </c>
      <c r="P153">
        <v>2</v>
      </c>
    </row>
    <row r="154" spans="1:16" x14ac:dyDescent="0.3">
      <c r="A154" t="s">
        <v>11</v>
      </c>
      <c r="B154" t="s">
        <v>8</v>
      </c>
      <c r="C154" t="s">
        <v>9</v>
      </c>
      <c r="D154" t="s">
        <v>10</v>
      </c>
      <c r="E154">
        <v>3</v>
      </c>
      <c r="F154">
        <v>17.260000000000002</v>
      </c>
      <c r="G154">
        <v>2.74</v>
      </c>
      <c r="J154">
        <f t="shared" si="6"/>
        <v>1</v>
      </c>
      <c r="K154">
        <f t="shared" si="7"/>
        <v>1</v>
      </c>
      <c r="L154" cm="1">
        <f t="array" ref="L154">_xlfn.IFS(C154="Sat",1,C154="Sun",2,C154="Thur",3,C154="Fri",4)</f>
        <v>2</v>
      </c>
      <c r="M154">
        <f t="shared" si="8"/>
        <v>2</v>
      </c>
      <c r="N154">
        <v>3</v>
      </c>
      <c r="O154">
        <v>17.260000000000002</v>
      </c>
      <c r="P154">
        <v>2.74</v>
      </c>
    </row>
    <row r="155" spans="1:16" x14ac:dyDescent="0.3">
      <c r="A155" t="s">
        <v>11</v>
      </c>
      <c r="B155" t="s">
        <v>8</v>
      </c>
      <c r="C155" t="s">
        <v>9</v>
      </c>
      <c r="D155" t="s">
        <v>10</v>
      </c>
      <c r="E155">
        <v>4</v>
      </c>
      <c r="F155">
        <v>24.55</v>
      </c>
      <c r="G155">
        <v>2</v>
      </c>
      <c r="J155">
        <f t="shared" si="6"/>
        <v>1</v>
      </c>
      <c r="K155">
        <f t="shared" si="7"/>
        <v>1</v>
      </c>
      <c r="L155" cm="1">
        <f t="array" ref="L155">_xlfn.IFS(C155="Sat",1,C155="Sun",2,C155="Thur",3,C155="Fri",4)</f>
        <v>2</v>
      </c>
      <c r="M155">
        <f t="shared" si="8"/>
        <v>2</v>
      </c>
      <c r="N155">
        <v>4</v>
      </c>
      <c r="O155">
        <v>24.55</v>
      </c>
      <c r="P155">
        <v>2</v>
      </c>
    </row>
    <row r="156" spans="1:16" x14ac:dyDescent="0.3">
      <c r="A156" t="s">
        <v>11</v>
      </c>
      <c r="B156" t="s">
        <v>8</v>
      </c>
      <c r="C156" t="s">
        <v>9</v>
      </c>
      <c r="D156" t="s">
        <v>10</v>
      </c>
      <c r="E156">
        <v>4</v>
      </c>
      <c r="F156">
        <v>19.77</v>
      </c>
      <c r="G156">
        <v>2</v>
      </c>
      <c r="J156">
        <f t="shared" si="6"/>
        <v>1</v>
      </c>
      <c r="K156">
        <f t="shared" si="7"/>
        <v>1</v>
      </c>
      <c r="L156" cm="1">
        <f t="array" ref="L156">_xlfn.IFS(C156="Sat",1,C156="Sun",2,C156="Thur",3,C156="Fri",4)</f>
        <v>2</v>
      </c>
      <c r="M156">
        <f t="shared" si="8"/>
        <v>2</v>
      </c>
      <c r="N156">
        <v>4</v>
      </c>
      <c r="O156">
        <v>19.77</v>
      </c>
      <c r="P156">
        <v>2</v>
      </c>
    </row>
    <row r="157" spans="1:16" x14ac:dyDescent="0.3">
      <c r="A157" t="s">
        <v>7</v>
      </c>
      <c r="B157" t="s">
        <v>8</v>
      </c>
      <c r="C157" t="s">
        <v>9</v>
      </c>
      <c r="D157" t="s">
        <v>10</v>
      </c>
      <c r="E157">
        <v>5</v>
      </c>
      <c r="F157">
        <v>29.85</v>
      </c>
      <c r="G157">
        <v>5.14</v>
      </c>
      <c r="J157">
        <f t="shared" si="6"/>
        <v>2</v>
      </c>
      <c r="K157">
        <f t="shared" si="7"/>
        <v>1</v>
      </c>
      <c r="L157" cm="1">
        <f t="array" ref="L157">_xlfn.IFS(C157="Sat",1,C157="Sun",2,C157="Thur",3,C157="Fri",4)</f>
        <v>2</v>
      </c>
      <c r="M157">
        <f t="shared" si="8"/>
        <v>2</v>
      </c>
      <c r="N157">
        <v>5</v>
      </c>
      <c r="O157">
        <v>29.85</v>
      </c>
      <c r="P157">
        <v>5.14</v>
      </c>
    </row>
    <row r="158" spans="1:16" x14ac:dyDescent="0.3">
      <c r="A158" t="s">
        <v>11</v>
      </c>
      <c r="B158" t="s">
        <v>8</v>
      </c>
      <c r="C158" t="s">
        <v>9</v>
      </c>
      <c r="D158" t="s">
        <v>10</v>
      </c>
      <c r="E158">
        <v>6</v>
      </c>
      <c r="F158">
        <v>48.17</v>
      </c>
      <c r="G158">
        <v>5</v>
      </c>
      <c r="J158">
        <f t="shared" si="6"/>
        <v>1</v>
      </c>
      <c r="K158">
        <f t="shared" si="7"/>
        <v>1</v>
      </c>
      <c r="L158" cm="1">
        <f t="array" ref="L158">_xlfn.IFS(C158="Sat",1,C158="Sun",2,C158="Thur",3,C158="Fri",4)</f>
        <v>2</v>
      </c>
      <c r="M158">
        <f t="shared" si="8"/>
        <v>2</v>
      </c>
      <c r="N158">
        <v>6</v>
      </c>
      <c r="O158">
        <v>48.17</v>
      </c>
      <c r="P158">
        <v>5</v>
      </c>
    </row>
    <row r="159" spans="1:16" x14ac:dyDescent="0.3">
      <c r="A159" t="s">
        <v>7</v>
      </c>
      <c r="B159" t="s">
        <v>8</v>
      </c>
      <c r="C159" t="s">
        <v>9</v>
      </c>
      <c r="D159" t="s">
        <v>10</v>
      </c>
      <c r="E159">
        <v>4</v>
      </c>
      <c r="F159">
        <v>25</v>
      </c>
      <c r="G159">
        <v>3.75</v>
      </c>
      <c r="J159">
        <f t="shared" si="6"/>
        <v>2</v>
      </c>
      <c r="K159">
        <f t="shared" si="7"/>
        <v>1</v>
      </c>
      <c r="L159" cm="1">
        <f t="array" ref="L159">_xlfn.IFS(C159="Sat",1,C159="Sun",2,C159="Thur",3,C159="Fri",4)</f>
        <v>2</v>
      </c>
      <c r="M159">
        <f t="shared" si="8"/>
        <v>2</v>
      </c>
      <c r="N159">
        <v>4</v>
      </c>
      <c r="O159">
        <v>25</v>
      </c>
      <c r="P159">
        <v>3.75</v>
      </c>
    </row>
    <row r="160" spans="1:16" x14ac:dyDescent="0.3">
      <c r="A160" t="s">
        <v>7</v>
      </c>
      <c r="B160" t="s">
        <v>8</v>
      </c>
      <c r="C160" t="s">
        <v>9</v>
      </c>
      <c r="D160" t="s">
        <v>10</v>
      </c>
      <c r="E160">
        <v>2</v>
      </c>
      <c r="F160">
        <v>13.39</v>
      </c>
      <c r="G160">
        <v>2.61</v>
      </c>
      <c r="J160">
        <f t="shared" si="6"/>
        <v>2</v>
      </c>
      <c r="K160">
        <f t="shared" si="7"/>
        <v>1</v>
      </c>
      <c r="L160" cm="1">
        <f t="array" ref="L160">_xlfn.IFS(C160="Sat",1,C160="Sun",2,C160="Thur",3,C160="Fri",4)</f>
        <v>2</v>
      </c>
      <c r="M160">
        <f t="shared" si="8"/>
        <v>2</v>
      </c>
      <c r="N160">
        <v>2</v>
      </c>
      <c r="O160">
        <v>13.39</v>
      </c>
      <c r="P160">
        <v>2.61</v>
      </c>
    </row>
    <row r="161" spans="1:16" x14ac:dyDescent="0.3">
      <c r="A161" t="s">
        <v>11</v>
      </c>
      <c r="B161" t="s">
        <v>8</v>
      </c>
      <c r="C161" t="s">
        <v>9</v>
      </c>
      <c r="D161" t="s">
        <v>10</v>
      </c>
      <c r="E161">
        <v>4</v>
      </c>
      <c r="F161">
        <v>16.489999999999998</v>
      </c>
      <c r="G161">
        <v>2</v>
      </c>
      <c r="J161">
        <f t="shared" si="6"/>
        <v>1</v>
      </c>
      <c r="K161">
        <f t="shared" si="7"/>
        <v>1</v>
      </c>
      <c r="L161" cm="1">
        <f t="array" ref="L161">_xlfn.IFS(C161="Sat",1,C161="Sun",2,C161="Thur",3,C161="Fri",4)</f>
        <v>2</v>
      </c>
      <c r="M161">
        <f t="shared" si="8"/>
        <v>2</v>
      </c>
      <c r="N161">
        <v>4</v>
      </c>
      <c r="O161">
        <v>16.489999999999998</v>
      </c>
      <c r="P161">
        <v>2</v>
      </c>
    </row>
    <row r="162" spans="1:16" x14ac:dyDescent="0.3">
      <c r="A162" t="s">
        <v>11</v>
      </c>
      <c r="B162" t="s">
        <v>8</v>
      </c>
      <c r="C162" t="s">
        <v>9</v>
      </c>
      <c r="D162" t="s">
        <v>10</v>
      </c>
      <c r="E162">
        <v>4</v>
      </c>
      <c r="F162">
        <v>21.5</v>
      </c>
      <c r="G162">
        <v>3.5</v>
      </c>
      <c r="J162">
        <f t="shared" si="6"/>
        <v>1</v>
      </c>
      <c r="K162">
        <f t="shared" si="7"/>
        <v>1</v>
      </c>
      <c r="L162" cm="1">
        <f t="array" ref="L162">_xlfn.IFS(C162="Sat",1,C162="Sun",2,C162="Thur",3,C162="Fri",4)</f>
        <v>2</v>
      </c>
      <c r="M162">
        <f t="shared" si="8"/>
        <v>2</v>
      </c>
      <c r="N162">
        <v>4</v>
      </c>
      <c r="O162">
        <v>21.5</v>
      </c>
      <c r="P162">
        <v>3.5</v>
      </c>
    </row>
    <row r="163" spans="1:16" x14ac:dyDescent="0.3">
      <c r="A163" t="s">
        <v>11</v>
      </c>
      <c r="B163" t="s">
        <v>8</v>
      </c>
      <c r="C163" t="s">
        <v>9</v>
      </c>
      <c r="D163" t="s">
        <v>10</v>
      </c>
      <c r="E163">
        <v>2</v>
      </c>
      <c r="F163">
        <v>12.66</v>
      </c>
      <c r="G163">
        <v>2.5</v>
      </c>
      <c r="J163">
        <f t="shared" si="6"/>
        <v>1</v>
      </c>
      <c r="K163">
        <f t="shared" si="7"/>
        <v>1</v>
      </c>
      <c r="L163" cm="1">
        <f t="array" ref="L163">_xlfn.IFS(C163="Sat",1,C163="Sun",2,C163="Thur",3,C163="Fri",4)</f>
        <v>2</v>
      </c>
      <c r="M163">
        <f t="shared" si="8"/>
        <v>2</v>
      </c>
      <c r="N163">
        <v>2</v>
      </c>
      <c r="O163">
        <v>12.66</v>
      </c>
      <c r="P163">
        <v>2.5</v>
      </c>
    </row>
    <row r="164" spans="1:16" x14ac:dyDescent="0.3">
      <c r="A164" t="s">
        <v>7</v>
      </c>
      <c r="B164" t="s">
        <v>8</v>
      </c>
      <c r="C164" t="s">
        <v>9</v>
      </c>
      <c r="D164" t="s">
        <v>10</v>
      </c>
      <c r="E164">
        <v>3</v>
      </c>
      <c r="F164">
        <v>16.21</v>
      </c>
      <c r="G164">
        <v>2</v>
      </c>
      <c r="J164">
        <f t="shared" si="6"/>
        <v>2</v>
      </c>
      <c r="K164">
        <f t="shared" si="7"/>
        <v>1</v>
      </c>
      <c r="L164" cm="1">
        <f t="array" ref="L164">_xlfn.IFS(C164="Sat",1,C164="Sun",2,C164="Thur",3,C164="Fri",4)</f>
        <v>2</v>
      </c>
      <c r="M164">
        <f t="shared" si="8"/>
        <v>2</v>
      </c>
      <c r="N164">
        <v>3</v>
      </c>
      <c r="O164">
        <v>16.21</v>
      </c>
      <c r="P164">
        <v>2</v>
      </c>
    </row>
    <row r="165" spans="1:16" x14ac:dyDescent="0.3">
      <c r="A165" t="s">
        <v>11</v>
      </c>
      <c r="B165" t="s">
        <v>8</v>
      </c>
      <c r="C165" t="s">
        <v>9</v>
      </c>
      <c r="D165" t="s">
        <v>10</v>
      </c>
      <c r="E165">
        <v>2</v>
      </c>
      <c r="F165">
        <v>13.81</v>
      </c>
      <c r="G165">
        <v>2</v>
      </c>
      <c r="J165">
        <f t="shared" si="6"/>
        <v>1</v>
      </c>
      <c r="K165">
        <f t="shared" si="7"/>
        <v>1</v>
      </c>
      <c r="L165" cm="1">
        <f t="array" ref="L165">_xlfn.IFS(C165="Sat",1,C165="Sun",2,C165="Thur",3,C165="Fri",4)</f>
        <v>2</v>
      </c>
      <c r="M165">
        <f t="shared" si="8"/>
        <v>2</v>
      </c>
      <c r="N165">
        <v>2</v>
      </c>
      <c r="O165">
        <v>13.81</v>
      </c>
      <c r="P165">
        <v>2</v>
      </c>
    </row>
    <row r="166" spans="1:16" x14ac:dyDescent="0.3">
      <c r="A166" t="s">
        <v>7</v>
      </c>
      <c r="B166" t="s">
        <v>22</v>
      </c>
      <c r="C166" t="s">
        <v>9</v>
      </c>
      <c r="D166" t="s">
        <v>10</v>
      </c>
      <c r="E166">
        <v>2</v>
      </c>
      <c r="F166">
        <v>17.510000000000002</v>
      </c>
      <c r="G166">
        <v>3</v>
      </c>
      <c r="J166">
        <f t="shared" si="6"/>
        <v>2</v>
      </c>
      <c r="K166">
        <f t="shared" si="7"/>
        <v>2</v>
      </c>
      <c r="L166" cm="1">
        <f t="array" ref="L166">_xlfn.IFS(C166="Sat",1,C166="Sun",2,C166="Thur",3,C166="Fri",4)</f>
        <v>2</v>
      </c>
      <c r="M166">
        <f t="shared" si="8"/>
        <v>2</v>
      </c>
      <c r="N166">
        <v>2</v>
      </c>
      <c r="O166">
        <v>17.510000000000002</v>
      </c>
      <c r="P166">
        <v>3</v>
      </c>
    </row>
    <row r="167" spans="1:16" x14ac:dyDescent="0.3">
      <c r="A167" t="s">
        <v>11</v>
      </c>
      <c r="B167" t="s">
        <v>8</v>
      </c>
      <c r="C167" t="s">
        <v>9</v>
      </c>
      <c r="D167" t="s">
        <v>10</v>
      </c>
      <c r="E167">
        <v>3</v>
      </c>
      <c r="F167">
        <v>24.52</v>
      </c>
      <c r="G167">
        <v>3.48</v>
      </c>
      <c r="J167">
        <f t="shared" si="6"/>
        <v>1</v>
      </c>
      <c r="K167">
        <f t="shared" si="7"/>
        <v>1</v>
      </c>
      <c r="L167" cm="1">
        <f t="array" ref="L167">_xlfn.IFS(C167="Sat",1,C167="Sun",2,C167="Thur",3,C167="Fri",4)</f>
        <v>2</v>
      </c>
      <c r="M167">
        <f t="shared" si="8"/>
        <v>2</v>
      </c>
      <c r="N167">
        <v>3</v>
      </c>
      <c r="O167">
        <v>24.52</v>
      </c>
      <c r="P167">
        <v>3.48</v>
      </c>
    </row>
    <row r="168" spans="1:16" x14ac:dyDescent="0.3">
      <c r="A168" t="s">
        <v>11</v>
      </c>
      <c r="B168" t="s">
        <v>8</v>
      </c>
      <c r="C168" t="s">
        <v>9</v>
      </c>
      <c r="D168" t="s">
        <v>10</v>
      </c>
      <c r="E168">
        <v>2</v>
      </c>
      <c r="F168">
        <v>20.76</v>
      </c>
      <c r="G168">
        <v>2.2400000000000002</v>
      </c>
      <c r="J168">
        <f t="shared" si="6"/>
        <v>1</v>
      </c>
      <c r="K168">
        <f t="shared" si="7"/>
        <v>1</v>
      </c>
      <c r="L168" cm="1">
        <f t="array" ref="L168">_xlfn.IFS(C168="Sat",1,C168="Sun",2,C168="Thur",3,C168="Fri",4)</f>
        <v>2</v>
      </c>
      <c r="M168">
        <f t="shared" si="8"/>
        <v>2</v>
      </c>
      <c r="N168">
        <v>2</v>
      </c>
      <c r="O168">
        <v>20.76</v>
      </c>
      <c r="P168">
        <v>2.2400000000000002</v>
      </c>
    </row>
    <row r="169" spans="1:16" x14ac:dyDescent="0.3">
      <c r="A169" t="s">
        <v>11</v>
      </c>
      <c r="B169" t="s">
        <v>8</v>
      </c>
      <c r="C169" t="s">
        <v>9</v>
      </c>
      <c r="D169" t="s">
        <v>10</v>
      </c>
      <c r="E169">
        <v>4</v>
      </c>
      <c r="F169">
        <v>31.71</v>
      </c>
      <c r="G169">
        <v>4.5</v>
      </c>
      <c r="J169">
        <f t="shared" si="6"/>
        <v>1</v>
      </c>
      <c r="K169">
        <f t="shared" si="7"/>
        <v>1</v>
      </c>
      <c r="L169" cm="1">
        <f t="array" ref="L169">_xlfn.IFS(C169="Sat",1,C169="Sun",2,C169="Thur",3,C169="Fri",4)</f>
        <v>2</v>
      </c>
      <c r="M169">
        <f t="shared" si="8"/>
        <v>2</v>
      </c>
      <c r="N169">
        <v>4</v>
      </c>
      <c r="O169">
        <v>31.71</v>
      </c>
      <c r="P169">
        <v>4.5</v>
      </c>
    </row>
    <row r="170" spans="1:16" x14ac:dyDescent="0.3">
      <c r="A170" t="s">
        <v>7</v>
      </c>
      <c r="B170" t="s">
        <v>22</v>
      </c>
      <c r="C170" t="s">
        <v>21</v>
      </c>
      <c r="D170" t="s">
        <v>10</v>
      </c>
      <c r="E170">
        <v>2</v>
      </c>
      <c r="F170">
        <v>10.59</v>
      </c>
      <c r="G170">
        <v>1.61</v>
      </c>
      <c r="J170">
        <f t="shared" si="6"/>
        <v>2</v>
      </c>
      <c r="K170">
        <f t="shared" si="7"/>
        <v>2</v>
      </c>
      <c r="L170" cm="1">
        <f t="array" ref="L170">_xlfn.IFS(C170="Sat",1,C170="Sun",2,C170="Thur",3,C170="Fri",4)</f>
        <v>1</v>
      </c>
      <c r="M170">
        <f t="shared" si="8"/>
        <v>2</v>
      </c>
      <c r="N170">
        <v>2</v>
      </c>
      <c r="O170">
        <v>10.59</v>
      </c>
      <c r="P170">
        <v>1.61</v>
      </c>
    </row>
    <row r="171" spans="1:16" x14ac:dyDescent="0.3">
      <c r="A171" t="s">
        <v>7</v>
      </c>
      <c r="B171" t="s">
        <v>22</v>
      </c>
      <c r="C171" t="s">
        <v>21</v>
      </c>
      <c r="D171" t="s">
        <v>10</v>
      </c>
      <c r="E171">
        <v>2</v>
      </c>
      <c r="F171">
        <v>10.63</v>
      </c>
      <c r="G171">
        <v>2</v>
      </c>
      <c r="J171">
        <f t="shared" si="6"/>
        <v>2</v>
      </c>
      <c r="K171">
        <f t="shared" si="7"/>
        <v>2</v>
      </c>
      <c r="L171" cm="1">
        <f t="array" ref="L171">_xlfn.IFS(C171="Sat",1,C171="Sun",2,C171="Thur",3,C171="Fri",4)</f>
        <v>1</v>
      </c>
      <c r="M171">
        <f t="shared" si="8"/>
        <v>2</v>
      </c>
      <c r="N171">
        <v>2</v>
      </c>
      <c r="O171">
        <v>10.63</v>
      </c>
      <c r="P171">
        <v>2</v>
      </c>
    </row>
    <row r="172" spans="1:16" x14ac:dyDescent="0.3">
      <c r="A172" t="s">
        <v>11</v>
      </c>
      <c r="B172" t="s">
        <v>22</v>
      </c>
      <c r="C172" t="s">
        <v>21</v>
      </c>
      <c r="D172" t="s">
        <v>10</v>
      </c>
      <c r="E172">
        <v>3</v>
      </c>
      <c r="F172">
        <v>50.81</v>
      </c>
      <c r="G172">
        <v>10</v>
      </c>
      <c r="J172">
        <f t="shared" si="6"/>
        <v>1</v>
      </c>
      <c r="K172">
        <f t="shared" si="7"/>
        <v>2</v>
      </c>
      <c r="L172" cm="1">
        <f t="array" ref="L172">_xlfn.IFS(C172="Sat",1,C172="Sun",2,C172="Thur",3,C172="Fri",4)</f>
        <v>1</v>
      </c>
      <c r="M172">
        <f t="shared" si="8"/>
        <v>2</v>
      </c>
      <c r="N172">
        <v>3</v>
      </c>
      <c r="O172">
        <v>50.81</v>
      </c>
      <c r="P172">
        <v>10</v>
      </c>
    </row>
    <row r="173" spans="1:16" x14ac:dyDescent="0.3">
      <c r="A173" t="s">
        <v>11</v>
      </c>
      <c r="B173" t="s">
        <v>22</v>
      </c>
      <c r="C173" t="s">
        <v>21</v>
      </c>
      <c r="D173" t="s">
        <v>10</v>
      </c>
      <c r="E173">
        <v>2</v>
      </c>
      <c r="F173">
        <v>15.81</v>
      </c>
      <c r="G173">
        <v>3.16</v>
      </c>
      <c r="J173">
        <f t="shared" si="6"/>
        <v>1</v>
      </c>
      <c r="K173">
        <f t="shared" si="7"/>
        <v>2</v>
      </c>
      <c r="L173" cm="1">
        <f t="array" ref="L173">_xlfn.IFS(C173="Sat",1,C173="Sun",2,C173="Thur",3,C173="Fri",4)</f>
        <v>1</v>
      </c>
      <c r="M173">
        <f t="shared" si="8"/>
        <v>2</v>
      </c>
      <c r="N173">
        <v>2</v>
      </c>
      <c r="O173">
        <v>15.81</v>
      </c>
      <c r="P173">
        <v>3.16</v>
      </c>
    </row>
    <row r="174" spans="1:16" x14ac:dyDescent="0.3">
      <c r="A174" t="s">
        <v>11</v>
      </c>
      <c r="B174" t="s">
        <v>22</v>
      </c>
      <c r="C174" t="s">
        <v>9</v>
      </c>
      <c r="D174" t="s">
        <v>10</v>
      </c>
      <c r="E174">
        <v>2</v>
      </c>
      <c r="F174">
        <v>7.25</v>
      </c>
      <c r="G174">
        <v>5.15</v>
      </c>
      <c r="J174">
        <f t="shared" si="6"/>
        <v>1</v>
      </c>
      <c r="K174">
        <f t="shared" si="7"/>
        <v>2</v>
      </c>
      <c r="L174" cm="1">
        <f t="array" ref="L174">_xlfn.IFS(C174="Sat",1,C174="Sun",2,C174="Thur",3,C174="Fri",4)</f>
        <v>2</v>
      </c>
      <c r="M174">
        <f t="shared" si="8"/>
        <v>2</v>
      </c>
      <c r="N174">
        <v>2</v>
      </c>
      <c r="O174">
        <v>7.25</v>
      </c>
      <c r="P174">
        <v>5.15</v>
      </c>
    </row>
    <row r="175" spans="1:16" x14ac:dyDescent="0.3">
      <c r="A175" t="s">
        <v>11</v>
      </c>
      <c r="B175" t="s">
        <v>22</v>
      </c>
      <c r="C175" t="s">
        <v>9</v>
      </c>
      <c r="D175" t="s">
        <v>10</v>
      </c>
      <c r="E175">
        <v>2</v>
      </c>
      <c r="F175">
        <v>31.85</v>
      </c>
      <c r="G175">
        <v>3.18</v>
      </c>
      <c r="J175">
        <f t="shared" si="6"/>
        <v>1</v>
      </c>
      <c r="K175">
        <f t="shared" si="7"/>
        <v>2</v>
      </c>
      <c r="L175" cm="1">
        <f t="array" ref="L175">_xlfn.IFS(C175="Sat",1,C175="Sun",2,C175="Thur",3,C175="Fri",4)</f>
        <v>2</v>
      </c>
      <c r="M175">
        <f t="shared" si="8"/>
        <v>2</v>
      </c>
      <c r="N175">
        <v>2</v>
      </c>
      <c r="O175">
        <v>31.85</v>
      </c>
      <c r="P175">
        <v>3.18</v>
      </c>
    </row>
    <row r="176" spans="1:16" x14ac:dyDescent="0.3">
      <c r="A176" t="s">
        <v>11</v>
      </c>
      <c r="B176" t="s">
        <v>22</v>
      </c>
      <c r="C176" t="s">
        <v>9</v>
      </c>
      <c r="D176" t="s">
        <v>10</v>
      </c>
      <c r="E176">
        <v>2</v>
      </c>
      <c r="F176">
        <v>16.82</v>
      </c>
      <c r="G176">
        <v>4</v>
      </c>
      <c r="J176">
        <f t="shared" si="6"/>
        <v>1</v>
      </c>
      <c r="K176">
        <f t="shared" si="7"/>
        <v>2</v>
      </c>
      <c r="L176" cm="1">
        <f t="array" ref="L176">_xlfn.IFS(C176="Sat",1,C176="Sun",2,C176="Thur",3,C176="Fri",4)</f>
        <v>2</v>
      </c>
      <c r="M176">
        <f t="shared" si="8"/>
        <v>2</v>
      </c>
      <c r="N176">
        <v>2</v>
      </c>
      <c r="O176">
        <v>16.82</v>
      </c>
      <c r="P176">
        <v>4</v>
      </c>
    </row>
    <row r="177" spans="1:16" x14ac:dyDescent="0.3">
      <c r="A177" t="s">
        <v>11</v>
      </c>
      <c r="B177" t="s">
        <v>22</v>
      </c>
      <c r="C177" t="s">
        <v>9</v>
      </c>
      <c r="D177" t="s">
        <v>10</v>
      </c>
      <c r="E177">
        <v>2</v>
      </c>
      <c r="F177">
        <v>32.9</v>
      </c>
      <c r="G177">
        <v>3.11</v>
      </c>
      <c r="J177">
        <f t="shared" si="6"/>
        <v>1</v>
      </c>
      <c r="K177">
        <f t="shared" si="7"/>
        <v>2</v>
      </c>
      <c r="L177" cm="1">
        <f t="array" ref="L177">_xlfn.IFS(C177="Sat",1,C177="Sun",2,C177="Thur",3,C177="Fri",4)</f>
        <v>2</v>
      </c>
      <c r="M177">
        <f t="shared" si="8"/>
        <v>2</v>
      </c>
      <c r="N177">
        <v>2</v>
      </c>
      <c r="O177">
        <v>32.9</v>
      </c>
      <c r="P177">
        <v>3.11</v>
      </c>
    </row>
    <row r="178" spans="1:16" x14ac:dyDescent="0.3">
      <c r="A178" t="s">
        <v>11</v>
      </c>
      <c r="B178" t="s">
        <v>22</v>
      </c>
      <c r="C178" t="s">
        <v>9</v>
      </c>
      <c r="D178" t="s">
        <v>10</v>
      </c>
      <c r="E178">
        <v>2</v>
      </c>
      <c r="F178">
        <v>17.89</v>
      </c>
      <c r="G178">
        <v>2</v>
      </c>
      <c r="J178">
        <f t="shared" si="6"/>
        <v>1</v>
      </c>
      <c r="K178">
        <f t="shared" si="7"/>
        <v>2</v>
      </c>
      <c r="L178" cm="1">
        <f t="array" ref="L178">_xlfn.IFS(C178="Sat",1,C178="Sun",2,C178="Thur",3,C178="Fri",4)</f>
        <v>2</v>
      </c>
      <c r="M178">
        <f t="shared" si="8"/>
        <v>2</v>
      </c>
      <c r="N178">
        <v>2</v>
      </c>
      <c r="O178">
        <v>17.89</v>
      </c>
      <c r="P178">
        <v>2</v>
      </c>
    </row>
    <row r="179" spans="1:16" x14ac:dyDescent="0.3">
      <c r="A179" t="s">
        <v>11</v>
      </c>
      <c r="B179" t="s">
        <v>22</v>
      </c>
      <c r="C179" t="s">
        <v>9</v>
      </c>
      <c r="D179" t="s">
        <v>10</v>
      </c>
      <c r="E179">
        <v>2</v>
      </c>
      <c r="F179">
        <v>14.48</v>
      </c>
      <c r="G179">
        <v>2</v>
      </c>
      <c r="J179">
        <f t="shared" si="6"/>
        <v>1</v>
      </c>
      <c r="K179">
        <f t="shared" si="7"/>
        <v>2</v>
      </c>
      <c r="L179" cm="1">
        <f t="array" ref="L179">_xlfn.IFS(C179="Sat",1,C179="Sun",2,C179="Thur",3,C179="Fri",4)</f>
        <v>2</v>
      </c>
      <c r="M179">
        <f t="shared" si="8"/>
        <v>2</v>
      </c>
      <c r="N179">
        <v>2</v>
      </c>
      <c r="O179">
        <v>14.48</v>
      </c>
      <c r="P179">
        <v>2</v>
      </c>
    </row>
    <row r="180" spans="1:16" x14ac:dyDescent="0.3">
      <c r="A180" t="s">
        <v>7</v>
      </c>
      <c r="B180" t="s">
        <v>22</v>
      </c>
      <c r="C180" t="s">
        <v>9</v>
      </c>
      <c r="D180" t="s">
        <v>10</v>
      </c>
      <c r="E180">
        <v>2</v>
      </c>
      <c r="F180">
        <v>9.6</v>
      </c>
      <c r="G180">
        <v>4</v>
      </c>
      <c r="J180">
        <f t="shared" si="6"/>
        <v>2</v>
      </c>
      <c r="K180">
        <f t="shared" si="7"/>
        <v>2</v>
      </c>
      <c r="L180" cm="1">
        <f t="array" ref="L180">_xlfn.IFS(C180="Sat",1,C180="Sun",2,C180="Thur",3,C180="Fri",4)</f>
        <v>2</v>
      </c>
      <c r="M180">
        <f t="shared" si="8"/>
        <v>2</v>
      </c>
      <c r="N180">
        <v>2</v>
      </c>
      <c r="O180">
        <v>9.6</v>
      </c>
      <c r="P180">
        <v>4</v>
      </c>
    </row>
    <row r="181" spans="1:16" x14ac:dyDescent="0.3">
      <c r="A181" t="s">
        <v>11</v>
      </c>
      <c r="B181" t="s">
        <v>22</v>
      </c>
      <c r="C181" t="s">
        <v>9</v>
      </c>
      <c r="D181" t="s">
        <v>10</v>
      </c>
      <c r="E181">
        <v>2</v>
      </c>
      <c r="F181">
        <v>34.630000000000003</v>
      </c>
      <c r="G181">
        <v>3.55</v>
      </c>
      <c r="J181">
        <f t="shared" si="6"/>
        <v>1</v>
      </c>
      <c r="K181">
        <f t="shared" si="7"/>
        <v>2</v>
      </c>
      <c r="L181" cm="1">
        <f t="array" ref="L181">_xlfn.IFS(C181="Sat",1,C181="Sun",2,C181="Thur",3,C181="Fri",4)</f>
        <v>2</v>
      </c>
      <c r="M181">
        <f t="shared" si="8"/>
        <v>2</v>
      </c>
      <c r="N181">
        <v>2</v>
      </c>
      <c r="O181">
        <v>34.630000000000003</v>
      </c>
      <c r="P181">
        <v>3.55</v>
      </c>
    </row>
    <row r="182" spans="1:16" x14ac:dyDescent="0.3">
      <c r="A182" t="s">
        <v>11</v>
      </c>
      <c r="B182" t="s">
        <v>22</v>
      </c>
      <c r="C182" t="s">
        <v>9</v>
      </c>
      <c r="D182" t="s">
        <v>10</v>
      </c>
      <c r="E182">
        <v>4</v>
      </c>
      <c r="F182">
        <v>34.65</v>
      </c>
      <c r="G182">
        <v>3.68</v>
      </c>
      <c r="J182">
        <f t="shared" si="6"/>
        <v>1</v>
      </c>
      <c r="K182">
        <f t="shared" si="7"/>
        <v>2</v>
      </c>
      <c r="L182" cm="1">
        <f t="array" ref="L182">_xlfn.IFS(C182="Sat",1,C182="Sun",2,C182="Thur",3,C182="Fri",4)</f>
        <v>2</v>
      </c>
      <c r="M182">
        <f t="shared" si="8"/>
        <v>2</v>
      </c>
      <c r="N182">
        <v>4</v>
      </c>
      <c r="O182">
        <v>34.65</v>
      </c>
      <c r="P182">
        <v>3.68</v>
      </c>
    </row>
    <row r="183" spans="1:16" x14ac:dyDescent="0.3">
      <c r="A183" t="s">
        <v>11</v>
      </c>
      <c r="B183" t="s">
        <v>22</v>
      </c>
      <c r="C183" t="s">
        <v>9</v>
      </c>
      <c r="D183" t="s">
        <v>10</v>
      </c>
      <c r="E183">
        <v>2</v>
      </c>
      <c r="F183">
        <v>23.33</v>
      </c>
      <c r="G183">
        <v>5.65</v>
      </c>
      <c r="J183">
        <f t="shared" si="6"/>
        <v>1</v>
      </c>
      <c r="K183">
        <f t="shared" si="7"/>
        <v>2</v>
      </c>
      <c r="L183" cm="1">
        <f t="array" ref="L183">_xlfn.IFS(C183="Sat",1,C183="Sun",2,C183="Thur",3,C183="Fri",4)</f>
        <v>2</v>
      </c>
      <c r="M183">
        <f t="shared" si="8"/>
        <v>2</v>
      </c>
      <c r="N183">
        <v>2</v>
      </c>
      <c r="O183">
        <v>23.33</v>
      </c>
      <c r="P183">
        <v>5.65</v>
      </c>
    </row>
    <row r="184" spans="1:16" x14ac:dyDescent="0.3">
      <c r="A184" t="s">
        <v>11</v>
      </c>
      <c r="B184" t="s">
        <v>22</v>
      </c>
      <c r="C184" t="s">
        <v>9</v>
      </c>
      <c r="D184" t="s">
        <v>10</v>
      </c>
      <c r="E184">
        <v>3</v>
      </c>
      <c r="F184">
        <v>45.35</v>
      </c>
      <c r="G184">
        <v>3.5</v>
      </c>
      <c r="J184">
        <f t="shared" si="6"/>
        <v>1</v>
      </c>
      <c r="K184">
        <f t="shared" si="7"/>
        <v>2</v>
      </c>
      <c r="L184" cm="1">
        <f t="array" ref="L184">_xlfn.IFS(C184="Sat",1,C184="Sun",2,C184="Thur",3,C184="Fri",4)</f>
        <v>2</v>
      </c>
      <c r="M184">
        <f t="shared" si="8"/>
        <v>2</v>
      </c>
      <c r="N184">
        <v>3</v>
      </c>
      <c r="O184">
        <v>45.35</v>
      </c>
      <c r="P184">
        <v>3.5</v>
      </c>
    </row>
    <row r="185" spans="1:16" x14ac:dyDescent="0.3">
      <c r="A185" t="s">
        <v>11</v>
      </c>
      <c r="B185" t="s">
        <v>22</v>
      </c>
      <c r="C185" t="s">
        <v>9</v>
      </c>
      <c r="D185" t="s">
        <v>10</v>
      </c>
      <c r="E185">
        <v>4</v>
      </c>
      <c r="F185">
        <v>23.17</v>
      </c>
      <c r="G185">
        <v>6.5</v>
      </c>
      <c r="J185">
        <f t="shared" si="6"/>
        <v>1</v>
      </c>
      <c r="K185">
        <f t="shared" si="7"/>
        <v>2</v>
      </c>
      <c r="L185" cm="1">
        <f t="array" ref="L185">_xlfn.IFS(C185="Sat",1,C185="Sun",2,C185="Thur",3,C185="Fri",4)</f>
        <v>2</v>
      </c>
      <c r="M185">
        <f t="shared" si="8"/>
        <v>2</v>
      </c>
      <c r="N185">
        <v>4</v>
      </c>
      <c r="O185">
        <v>23.17</v>
      </c>
      <c r="P185">
        <v>6.5</v>
      </c>
    </row>
    <row r="186" spans="1:16" x14ac:dyDescent="0.3">
      <c r="A186" t="s">
        <v>11</v>
      </c>
      <c r="B186" t="s">
        <v>22</v>
      </c>
      <c r="C186" t="s">
        <v>9</v>
      </c>
      <c r="D186" t="s">
        <v>10</v>
      </c>
      <c r="E186">
        <v>2</v>
      </c>
      <c r="F186">
        <v>40.549999999999997</v>
      </c>
      <c r="G186">
        <v>3</v>
      </c>
      <c r="J186">
        <f t="shared" si="6"/>
        <v>1</v>
      </c>
      <c r="K186">
        <f t="shared" si="7"/>
        <v>2</v>
      </c>
      <c r="L186" cm="1">
        <f t="array" ref="L186">_xlfn.IFS(C186="Sat",1,C186="Sun",2,C186="Thur",3,C186="Fri",4)</f>
        <v>2</v>
      </c>
      <c r="M186">
        <f t="shared" si="8"/>
        <v>2</v>
      </c>
      <c r="N186">
        <v>2</v>
      </c>
      <c r="O186">
        <v>40.549999999999997</v>
      </c>
      <c r="P186">
        <v>3</v>
      </c>
    </row>
    <row r="187" spans="1:16" x14ac:dyDescent="0.3">
      <c r="A187" t="s">
        <v>11</v>
      </c>
      <c r="B187" t="s">
        <v>8</v>
      </c>
      <c r="C187" t="s">
        <v>9</v>
      </c>
      <c r="D187" t="s">
        <v>10</v>
      </c>
      <c r="E187">
        <v>5</v>
      </c>
      <c r="F187">
        <v>20.69</v>
      </c>
      <c r="G187">
        <v>5</v>
      </c>
      <c r="J187">
        <f t="shared" si="6"/>
        <v>1</v>
      </c>
      <c r="K187">
        <f t="shared" si="7"/>
        <v>1</v>
      </c>
      <c r="L187" cm="1">
        <f t="array" ref="L187">_xlfn.IFS(C187="Sat",1,C187="Sun",2,C187="Thur",3,C187="Fri",4)</f>
        <v>2</v>
      </c>
      <c r="M187">
        <f t="shared" si="8"/>
        <v>2</v>
      </c>
      <c r="N187">
        <v>5</v>
      </c>
      <c r="O187">
        <v>20.69</v>
      </c>
      <c r="P187">
        <v>5</v>
      </c>
    </row>
    <row r="188" spans="1:16" x14ac:dyDescent="0.3">
      <c r="A188" t="s">
        <v>7</v>
      </c>
      <c r="B188" t="s">
        <v>22</v>
      </c>
      <c r="C188" t="s">
        <v>9</v>
      </c>
      <c r="D188" t="s">
        <v>10</v>
      </c>
      <c r="E188">
        <v>3</v>
      </c>
      <c r="F188">
        <v>20.9</v>
      </c>
      <c r="G188">
        <v>3.5</v>
      </c>
      <c r="J188">
        <f t="shared" si="6"/>
        <v>2</v>
      </c>
      <c r="K188">
        <f t="shared" si="7"/>
        <v>2</v>
      </c>
      <c r="L188" cm="1">
        <f t="array" ref="L188">_xlfn.IFS(C188="Sat",1,C188="Sun",2,C188="Thur",3,C188="Fri",4)</f>
        <v>2</v>
      </c>
      <c r="M188">
        <f t="shared" si="8"/>
        <v>2</v>
      </c>
      <c r="N188">
        <v>3</v>
      </c>
      <c r="O188">
        <v>20.9</v>
      </c>
      <c r="P188">
        <v>3.5</v>
      </c>
    </row>
    <row r="189" spans="1:16" x14ac:dyDescent="0.3">
      <c r="A189" t="s">
        <v>11</v>
      </c>
      <c r="B189" t="s">
        <v>22</v>
      </c>
      <c r="C189" t="s">
        <v>9</v>
      </c>
      <c r="D189" t="s">
        <v>10</v>
      </c>
      <c r="E189">
        <v>5</v>
      </c>
      <c r="F189">
        <v>30.46</v>
      </c>
      <c r="G189">
        <v>2</v>
      </c>
      <c r="J189">
        <f t="shared" si="6"/>
        <v>1</v>
      </c>
      <c r="K189">
        <f t="shared" si="7"/>
        <v>2</v>
      </c>
      <c r="L189" cm="1">
        <f t="array" ref="L189">_xlfn.IFS(C189="Sat",1,C189="Sun",2,C189="Thur",3,C189="Fri",4)</f>
        <v>2</v>
      </c>
      <c r="M189">
        <f t="shared" si="8"/>
        <v>2</v>
      </c>
      <c r="N189">
        <v>5</v>
      </c>
      <c r="O189">
        <v>30.46</v>
      </c>
      <c r="P189">
        <v>2</v>
      </c>
    </row>
    <row r="190" spans="1:16" x14ac:dyDescent="0.3">
      <c r="A190" t="s">
        <v>7</v>
      </c>
      <c r="B190" t="s">
        <v>22</v>
      </c>
      <c r="C190" t="s">
        <v>9</v>
      </c>
      <c r="D190" t="s">
        <v>10</v>
      </c>
      <c r="E190">
        <v>3</v>
      </c>
      <c r="F190">
        <v>18.149999999999999</v>
      </c>
      <c r="G190">
        <v>3.5</v>
      </c>
      <c r="J190">
        <f t="shared" si="6"/>
        <v>2</v>
      </c>
      <c r="K190">
        <f t="shared" si="7"/>
        <v>2</v>
      </c>
      <c r="L190" cm="1">
        <f t="array" ref="L190">_xlfn.IFS(C190="Sat",1,C190="Sun",2,C190="Thur",3,C190="Fri",4)</f>
        <v>2</v>
      </c>
      <c r="M190">
        <f t="shared" si="8"/>
        <v>2</v>
      </c>
      <c r="N190">
        <v>3</v>
      </c>
      <c r="O190">
        <v>18.149999999999999</v>
      </c>
      <c r="P190">
        <v>3.5</v>
      </c>
    </row>
    <row r="191" spans="1:16" x14ac:dyDescent="0.3">
      <c r="A191" t="s">
        <v>11</v>
      </c>
      <c r="B191" t="s">
        <v>22</v>
      </c>
      <c r="C191" t="s">
        <v>9</v>
      </c>
      <c r="D191" t="s">
        <v>10</v>
      </c>
      <c r="E191">
        <v>3</v>
      </c>
      <c r="F191">
        <v>23.1</v>
      </c>
      <c r="G191">
        <v>4</v>
      </c>
      <c r="J191">
        <f t="shared" si="6"/>
        <v>1</v>
      </c>
      <c r="K191">
        <f t="shared" si="7"/>
        <v>2</v>
      </c>
      <c r="L191" cm="1">
        <f t="array" ref="L191">_xlfn.IFS(C191="Sat",1,C191="Sun",2,C191="Thur",3,C191="Fri",4)</f>
        <v>2</v>
      </c>
      <c r="M191">
        <f t="shared" si="8"/>
        <v>2</v>
      </c>
      <c r="N191">
        <v>3</v>
      </c>
      <c r="O191">
        <v>23.1</v>
      </c>
      <c r="P191">
        <v>4</v>
      </c>
    </row>
    <row r="192" spans="1:16" x14ac:dyDescent="0.3">
      <c r="A192" t="s">
        <v>11</v>
      </c>
      <c r="B192" t="s">
        <v>22</v>
      </c>
      <c r="C192" t="s">
        <v>9</v>
      </c>
      <c r="D192" t="s">
        <v>10</v>
      </c>
      <c r="E192">
        <v>2</v>
      </c>
      <c r="F192">
        <v>15.69</v>
      </c>
      <c r="G192">
        <v>1.5</v>
      </c>
      <c r="J192">
        <f t="shared" si="6"/>
        <v>1</v>
      </c>
      <c r="K192">
        <f t="shared" si="7"/>
        <v>2</v>
      </c>
      <c r="L192" cm="1">
        <f t="array" ref="L192">_xlfn.IFS(C192="Sat",1,C192="Sun",2,C192="Thur",3,C192="Fri",4)</f>
        <v>2</v>
      </c>
      <c r="M192">
        <f t="shared" si="8"/>
        <v>2</v>
      </c>
      <c r="N192">
        <v>2</v>
      </c>
      <c r="O192">
        <v>15.69</v>
      </c>
      <c r="P192">
        <v>1.5</v>
      </c>
    </row>
    <row r="193" spans="1:16" x14ac:dyDescent="0.3">
      <c r="A193" t="s">
        <v>7</v>
      </c>
      <c r="B193" t="s">
        <v>22</v>
      </c>
      <c r="C193" t="s">
        <v>23</v>
      </c>
      <c r="D193" t="s">
        <v>24</v>
      </c>
      <c r="E193">
        <v>2</v>
      </c>
      <c r="F193">
        <v>19.809999999999999</v>
      </c>
      <c r="G193">
        <v>4.1900000000000004</v>
      </c>
      <c r="J193">
        <f t="shared" si="6"/>
        <v>2</v>
      </c>
      <c r="K193">
        <f t="shared" si="7"/>
        <v>2</v>
      </c>
      <c r="L193" cm="1">
        <f t="array" ref="L193">_xlfn.IFS(C193="Sat",1,C193="Sun",2,C193="Thur",3,C193="Fri",4)</f>
        <v>3</v>
      </c>
      <c r="M193">
        <f t="shared" si="8"/>
        <v>1</v>
      </c>
      <c r="N193">
        <v>2</v>
      </c>
      <c r="O193">
        <v>19.809999999999999</v>
      </c>
      <c r="P193">
        <v>4.1900000000000004</v>
      </c>
    </row>
    <row r="194" spans="1:16" x14ac:dyDescent="0.3">
      <c r="A194" t="s">
        <v>11</v>
      </c>
      <c r="B194" t="s">
        <v>22</v>
      </c>
      <c r="C194" t="s">
        <v>23</v>
      </c>
      <c r="D194" t="s">
        <v>24</v>
      </c>
      <c r="E194">
        <v>2</v>
      </c>
      <c r="F194">
        <v>28.44</v>
      </c>
      <c r="G194">
        <v>2.56</v>
      </c>
      <c r="J194">
        <f t="shared" si="6"/>
        <v>1</v>
      </c>
      <c r="K194">
        <f t="shared" si="7"/>
        <v>2</v>
      </c>
      <c r="L194" cm="1">
        <f t="array" ref="L194">_xlfn.IFS(C194="Sat",1,C194="Sun",2,C194="Thur",3,C194="Fri",4)</f>
        <v>3</v>
      </c>
      <c r="M194">
        <f t="shared" si="8"/>
        <v>1</v>
      </c>
      <c r="N194">
        <v>2</v>
      </c>
      <c r="O194">
        <v>28.44</v>
      </c>
      <c r="P194">
        <v>2.56</v>
      </c>
    </row>
    <row r="195" spans="1:16" x14ac:dyDescent="0.3">
      <c r="A195" t="s">
        <v>11</v>
      </c>
      <c r="B195" t="s">
        <v>22</v>
      </c>
      <c r="C195" t="s">
        <v>23</v>
      </c>
      <c r="D195" t="s">
        <v>24</v>
      </c>
      <c r="E195">
        <v>2</v>
      </c>
      <c r="F195">
        <v>15.48</v>
      </c>
      <c r="G195">
        <v>2.02</v>
      </c>
      <c r="J195">
        <f t="shared" ref="J195:J244" si="9">IF(A195 = "Female",2,1)</f>
        <v>1</v>
      </c>
      <c r="K195">
        <f t="shared" ref="K195:K244" si="10">IF(B195="No",1,2)</f>
        <v>2</v>
      </c>
      <c r="L195" cm="1">
        <f t="array" ref="L195">_xlfn.IFS(C195="Sat",1,C195="Sun",2,C195="Thur",3,C195="Fri",4)</f>
        <v>3</v>
      </c>
      <c r="M195">
        <f t="shared" ref="M195:M244" si="11">IF(D195="Lunch",1,2)</f>
        <v>1</v>
      </c>
      <c r="N195">
        <v>2</v>
      </c>
      <c r="O195">
        <v>15.48</v>
      </c>
      <c r="P195">
        <v>2.02</v>
      </c>
    </row>
    <row r="196" spans="1:16" x14ac:dyDescent="0.3">
      <c r="A196" t="s">
        <v>11</v>
      </c>
      <c r="B196" t="s">
        <v>22</v>
      </c>
      <c r="C196" t="s">
        <v>23</v>
      </c>
      <c r="D196" t="s">
        <v>24</v>
      </c>
      <c r="E196">
        <v>2</v>
      </c>
      <c r="F196">
        <v>16.579999999999998</v>
      </c>
      <c r="G196">
        <v>4</v>
      </c>
      <c r="J196">
        <f t="shared" si="9"/>
        <v>1</v>
      </c>
      <c r="K196">
        <f t="shared" si="10"/>
        <v>2</v>
      </c>
      <c r="L196" cm="1">
        <f t="array" ref="L196">_xlfn.IFS(C196="Sat",1,C196="Sun",2,C196="Thur",3,C196="Fri",4)</f>
        <v>3</v>
      </c>
      <c r="M196">
        <f t="shared" si="11"/>
        <v>1</v>
      </c>
      <c r="N196">
        <v>2</v>
      </c>
      <c r="O196">
        <v>16.579999999999998</v>
      </c>
      <c r="P196">
        <v>4</v>
      </c>
    </row>
    <row r="197" spans="1:16" x14ac:dyDescent="0.3">
      <c r="A197" t="s">
        <v>11</v>
      </c>
      <c r="B197" t="s">
        <v>8</v>
      </c>
      <c r="C197" t="s">
        <v>23</v>
      </c>
      <c r="D197" t="s">
        <v>24</v>
      </c>
      <c r="E197">
        <v>2</v>
      </c>
      <c r="F197">
        <v>7.56</v>
      </c>
      <c r="G197">
        <v>1.44</v>
      </c>
      <c r="J197">
        <f t="shared" si="9"/>
        <v>1</v>
      </c>
      <c r="K197">
        <f t="shared" si="10"/>
        <v>1</v>
      </c>
      <c r="L197" cm="1">
        <f t="array" ref="L197">_xlfn.IFS(C197="Sat",1,C197="Sun",2,C197="Thur",3,C197="Fri",4)</f>
        <v>3</v>
      </c>
      <c r="M197">
        <f t="shared" si="11"/>
        <v>1</v>
      </c>
      <c r="N197">
        <v>2</v>
      </c>
      <c r="O197">
        <v>7.56</v>
      </c>
      <c r="P197">
        <v>1.44</v>
      </c>
    </row>
    <row r="198" spans="1:16" x14ac:dyDescent="0.3">
      <c r="A198" t="s">
        <v>11</v>
      </c>
      <c r="B198" t="s">
        <v>22</v>
      </c>
      <c r="C198" t="s">
        <v>23</v>
      </c>
      <c r="D198" t="s">
        <v>24</v>
      </c>
      <c r="E198">
        <v>2</v>
      </c>
      <c r="F198">
        <v>10.34</v>
      </c>
      <c r="G198">
        <v>2</v>
      </c>
      <c r="J198">
        <f t="shared" si="9"/>
        <v>1</v>
      </c>
      <c r="K198">
        <f t="shared" si="10"/>
        <v>2</v>
      </c>
      <c r="L198" cm="1">
        <f t="array" ref="L198">_xlfn.IFS(C198="Sat",1,C198="Sun",2,C198="Thur",3,C198="Fri",4)</f>
        <v>3</v>
      </c>
      <c r="M198">
        <f t="shared" si="11"/>
        <v>1</v>
      </c>
      <c r="N198">
        <v>2</v>
      </c>
      <c r="O198">
        <v>10.34</v>
      </c>
      <c r="P198">
        <v>2</v>
      </c>
    </row>
    <row r="199" spans="1:16" x14ac:dyDescent="0.3">
      <c r="A199" t="s">
        <v>7</v>
      </c>
      <c r="B199" t="s">
        <v>22</v>
      </c>
      <c r="C199" t="s">
        <v>23</v>
      </c>
      <c r="D199" t="s">
        <v>24</v>
      </c>
      <c r="E199">
        <v>4</v>
      </c>
      <c r="F199">
        <v>43.11</v>
      </c>
      <c r="G199">
        <v>5</v>
      </c>
      <c r="J199">
        <f t="shared" si="9"/>
        <v>2</v>
      </c>
      <c r="K199">
        <f t="shared" si="10"/>
        <v>2</v>
      </c>
      <c r="L199" cm="1">
        <f t="array" ref="L199">_xlfn.IFS(C199="Sat",1,C199="Sun",2,C199="Thur",3,C199="Fri",4)</f>
        <v>3</v>
      </c>
      <c r="M199">
        <f t="shared" si="11"/>
        <v>1</v>
      </c>
      <c r="N199">
        <v>4</v>
      </c>
      <c r="O199">
        <v>43.11</v>
      </c>
      <c r="P199">
        <v>5</v>
      </c>
    </row>
    <row r="200" spans="1:16" x14ac:dyDescent="0.3">
      <c r="A200" t="s">
        <v>7</v>
      </c>
      <c r="B200" t="s">
        <v>22</v>
      </c>
      <c r="C200" t="s">
        <v>23</v>
      </c>
      <c r="D200" t="s">
        <v>24</v>
      </c>
      <c r="E200">
        <v>2</v>
      </c>
      <c r="F200">
        <v>13</v>
      </c>
      <c r="G200">
        <v>2</v>
      </c>
      <c r="J200">
        <f t="shared" si="9"/>
        <v>2</v>
      </c>
      <c r="K200">
        <f t="shared" si="10"/>
        <v>2</v>
      </c>
      <c r="L200" cm="1">
        <f t="array" ref="L200">_xlfn.IFS(C200="Sat",1,C200="Sun",2,C200="Thur",3,C200="Fri",4)</f>
        <v>3</v>
      </c>
      <c r="M200">
        <f t="shared" si="11"/>
        <v>1</v>
      </c>
      <c r="N200">
        <v>2</v>
      </c>
      <c r="O200">
        <v>13</v>
      </c>
      <c r="P200">
        <v>2</v>
      </c>
    </row>
    <row r="201" spans="1:16" x14ac:dyDescent="0.3">
      <c r="A201" t="s">
        <v>11</v>
      </c>
      <c r="B201" t="s">
        <v>22</v>
      </c>
      <c r="C201" t="s">
        <v>23</v>
      </c>
      <c r="D201" t="s">
        <v>24</v>
      </c>
      <c r="E201">
        <v>2</v>
      </c>
      <c r="F201">
        <v>13.51</v>
      </c>
      <c r="G201">
        <v>2</v>
      </c>
      <c r="J201">
        <f t="shared" si="9"/>
        <v>1</v>
      </c>
      <c r="K201">
        <f t="shared" si="10"/>
        <v>2</v>
      </c>
      <c r="L201" cm="1">
        <f t="array" ref="L201">_xlfn.IFS(C201="Sat",1,C201="Sun",2,C201="Thur",3,C201="Fri",4)</f>
        <v>3</v>
      </c>
      <c r="M201">
        <f t="shared" si="11"/>
        <v>1</v>
      </c>
      <c r="N201">
        <v>2</v>
      </c>
      <c r="O201">
        <v>13.51</v>
      </c>
      <c r="P201">
        <v>2</v>
      </c>
    </row>
    <row r="202" spans="1:16" x14ac:dyDescent="0.3">
      <c r="A202" t="s">
        <v>11</v>
      </c>
      <c r="B202" t="s">
        <v>22</v>
      </c>
      <c r="C202" t="s">
        <v>23</v>
      </c>
      <c r="D202" t="s">
        <v>24</v>
      </c>
      <c r="E202">
        <v>3</v>
      </c>
      <c r="F202">
        <v>18.71</v>
      </c>
      <c r="G202">
        <v>4</v>
      </c>
      <c r="J202">
        <f t="shared" si="9"/>
        <v>1</v>
      </c>
      <c r="K202">
        <f t="shared" si="10"/>
        <v>2</v>
      </c>
      <c r="L202" cm="1">
        <f t="array" ref="L202">_xlfn.IFS(C202="Sat",1,C202="Sun",2,C202="Thur",3,C202="Fri",4)</f>
        <v>3</v>
      </c>
      <c r="M202">
        <f t="shared" si="11"/>
        <v>1</v>
      </c>
      <c r="N202">
        <v>3</v>
      </c>
      <c r="O202">
        <v>18.71</v>
      </c>
      <c r="P202">
        <v>4</v>
      </c>
    </row>
    <row r="203" spans="1:16" x14ac:dyDescent="0.3">
      <c r="A203" t="s">
        <v>7</v>
      </c>
      <c r="B203" t="s">
        <v>22</v>
      </c>
      <c r="C203" t="s">
        <v>23</v>
      </c>
      <c r="D203" t="s">
        <v>24</v>
      </c>
      <c r="E203">
        <v>2</v>
      </c>
      <c r="F203">
        <v>12.74</v>
      </c>
      <c r="G203">
        <v>2.0099999999999998</v>
      </c>
      <c r="J203">
        <f t="shared" si="9"/>
        <v>2</v>
      </c>
      <c r="K203">
        <f t="shared" si="10"/>
        <v>2</v>
      </c>
      <c r="L203" cm="1">
        <f t="array" ref="L203">_xlfn.IFS(C203="Sat",1,C203="Sun",2,C203="Thur",3,C203="Fri",4)</f>
        <v>3</v>
      </c>
      <c r="M203">
        <f t="shared" si="11"/>
        <v>1</v>
      </c>
      <c r="N203">
        <v>2</v>
      </c>
      <c r="O203">
        <v>12.74</v>
      </c>
      <c r="P203">
        <v>2.0099999999999998</v>
      </c>
    </row>
    <row r="204" spans="1:16" x14ac:dyDescent="0.3">
      <c r="A204" t="s">
        <v>7</v>
      </c>
      <c r="B204" t="s">
        <v>22</v>
      </c>
      <c r="C204" t="s">
        <v>23</v>
      </c>
      <c r="D204" t="s">
        <v>24</v>
      </c>
      <c r="E204">
        <v>2</v>
      </c>
      <c r="F204">
        <v>16.399999999999999</v>
      </c>
      <c r="G204">
        <v>2.5</v>
      </c>
      <c r="J204">
        <f t="shared" si="9"/>
        <v>2</v>
      </c>
      <c r="K204">
        <f t="shared" si="10"/>
        <v>2</v>
      </c>
      <c r="L204" cm="1">
        <f t="array" ref="L204">_xlfn.IFS(C204="Sat",1,C204="Sun",2,C204="Thur",3,C204="Fri",4)</f>
        <v>3</v>
      </c>
      <c r="M204">
        <f t="shared" si="11"/>
        <v>1</v>
      </c>
      <c r="N204">
        <v>2</v>
      </c>
      <c r="O204">
        <v>16.399999999999999</v>
      </c>
      <c r="P204">
        <v>2.5</v>
      </c>
    </row>
    <row r="205" spans="1:16" x14ac:dyDescent="0.3">
      <c r="A205" t="s">
        <v>11</v>
      </c>
      <c r="B205" t="s">
        <v>22</v>
      </c>
      <c r="C205" t="s">
        <v>23</v>
      </c>
      <c r="D205" t="s">
        <v>24</v>
      </c>
      <c r="E205">
        <v>4</v>
      </c>
      <c r="F205">
        <v>20.53</v>
      </c>
      <c r="G205">
        <v>4</v>
      </c>
      <c r="J205">
        <f t="shared" si="9"/>
        <v>1</v>
      </c>
      <c r="K205">
        <f t="shared" si="10"/>
        <v>2</v>
      </c>
      <c r="L205" cm="1">
        <f t="array" ref="L205">_xlfn.IFS(C205="Sat",1,C205="Sun",2,C205="Thur",3,C205="Fri",4)</f>
        <v>3</v>
      </c>
      <c r="M205">
        <f t="shared" si="11"/>
        <v>1</v>
      </c>
      <c r="N205">
        <v>4</v>
      </c>
      <c r="O205">
        <v>20.53</v>
      </c>
      <c r="P205">
        <v>4</v>
      </c>
    </row>
    <row r="206" spans="1:16" x14ac:dyDescent="0.3">
      <c r="A206" t="s">
        <v>7</v>
      </c>
      <c r="B206" t="s">
        <v>22</v>
      </c>
      <c r="C206" t="s">
        <v>23</v>
      </c>
      <c r="D206" t="s">
        <v>24</v>
      </c>
      <c r="E206">
        <v>3</v>
      </c>
      <c r="F206">
        <v>16.47</v>
      </c>
      <c r="G206">
        <v>3.23</v>
      </c>
      <c r="J206">
        <f t="shared" si="9"/>
        <v>2</v>
      </c>
      <c r="K206">
        <f t="shared" si="10"/>
        <v>2</v>
      </c>
      <c r="L206" cm="1">
        <f t="array" ref="L206">_xlfn.IFS(C206="Sat",1,C206="Sun",2,C206="Thur",3,C206="Fri",4)</f>
        <v>3</v>
      </c>
      <c r="M206">
        <f t="shared" si="11"/>
        <v>1</v>
      </c>
      <c r="N206">
        <v>3</v>
      </c>
      <c r="O206">
        <v>16.47</v>
      </c>
      <c r="P206">
        <v>3.23</v>
      </c>
    </row>
    <row r="207" spans="1:16" x14ac:dyDescent="0.3">
      <c r="A207" t="s">
        <v>11</v>
      </c>
      <c r="B207" t="s">
        <v>22</v>
      </c>
      <c r="C207" t="s">
        <v>21</v>
      </c>
      <c r="D207" t="s">
        <v>10</v>
      </c>
      <c r="E207">
        <v>3</v>
      </c>
      <c r="F207">
        <v>26.59</v>
      </c>
      <c r="G207">
        <v>3.41</v>
      </c>
      <c r="J207">
        <f t="shared" si="9"/>
        <v>1</v>
      </c>
      <c r="K207">
        <f t="shared" si="10"/>
        <v>2</v>
      </c>
      <c r="L207" cm="1">
        <f t="array" ref="L207">_xlfn.IFS(C207="Sat",1,C207="Sun",2,C207="Thur",3,C207="Fri",4)</f>
        <v>1</v>
      </c>
      <c r="M207">
        <f t="shared" si="11"/>
        <v>2</v>
      </c>
      <c r="N207">
        <v>3</v>
      </c>
      <c r="O207">
        <v>26.59</v>
      </c>
      <c r="P207">
        <v>3.41</v>
      </c>
    </row>
    <row r="208" spans="1:16" x14ac:dyDescent="0.3">
      <c r="A208" t="s">
        <v>11</v>
      </c>
      <c r="B208" t="s">
        <v>22</v>
      </c>
      <c r="C208" t="s">
        <v>21</v>
      </c>
      <c r="D208" t="s">
        <v>10</v>
      </c>
      <c r="E208">
        <v>4</v>
      </c>
      <c r="F208">
        <v>38.729999999999997</v>
      </c>
      <c r="G208">
        <v>3</v>
      </c>
      <c r="J208">
        <f t="shared" si="9"/>
        <v>1</v>
      </c>
      <c r="K208">
        <f t="shared" si="10"/>
        <v>2</v>
      </c>
      <c r="L208" cm="1">
        <f t="array" ref="L208">_xlfn.IFS(C208="Sat",1,C208="Sun",2,C208="Thur",3,C208="Fri",4)</f>
        <v>1</v>
      </c>
      <c r="M208">
        <f t="shared" si="11"/>
        <v>2</v>
      </c>
      <c r="N208">
        <v>4</v>
      </c>
      <c r="O208">
        <v>38.729999999999997</v>
      </c>
      <c r="P208">
        <v>3</v>
      </c>
    </row>
    <row r="209" spans="1:16" x14ac:dyDescent="0.3">
      <c r="A209" t="s">
        <v>11</v>
      </c>
      <c r="B209" t="s">
        <v>22</v>
      </c>
      <c r="C209" t="s">
        <v>21</v>
      </c>
      <c r="D209" t="s">
        <v>10</v>
      </c>
      <c r="E209">
        <v>2</v>
      </c>
      <c r="F209">
        <v>24.27</v>
      </c>
      <c r="G209">
        <v>2.0299999999999998</v>
      </c>
      <c r="J209">
        <f t="shared" si="9"/>
        <v>1</v>
      </c>
      <c r="K209">
        <f t="shared" si="10"/>
        <v>2</v>
      </c>
      <c r="L209" cm="1">
        <f t="array" ref="L209">_xlfn.IFS(C209="Sat",1,C209="Sun",2,C209="Thur",3,C209="Fri",4)</f>
        <v>1</v>
      </c>
      <c r="M209">
        <f t="shared" si="11"/>
        <v>2</v>
      </c>
      <c r="N209">
        <v>2</v>
      </c>
      <c r="O209">
        <v>24.27</v>
      </c>
      <c r="P209">
        <v>2.0299999999999998</v>
      </c>
    </row>
    <row r="210" spans="1:16" x14ac:dyDescent="0.3">
      <c r="A210" t="s">
        <v>7</v>
      </c>
      <c r="B210" t="s">
        <v>22</v>
      </c>
      <c r="C210" t="s">
        <v>21</v>
      </c>
      <c r="D210" t="s">
        <v>10</v>
      </c>
      <c r="E210">
        <v>2</v>
      </c>
      <c r="F210">
        <v>12.76</v>
      </c>
      <c r="G210">
        <v>2.23</v>
      </c>
      <c r="J210">
        <f t="shared" si="9"/>
        <v>2</v>
      </c>
      <c r="K210">
        <f t="shared" si="10"/>
        <v>2</v>
      </c>
      <c r="L210" cm="1">
        <f t="array" ref="L210">_xlfn.IFS(C210="Sat",1,C210="Sun",2,C210="Thur",3,C210="Fri",4)</f>
        <v>1</v>
      </c>
      <c r="M210">
        <f t="shared" si="11"/>
        <v>2</v>
      </c>
      <c r="N210">
        <v>2</v>
      </c>
      <c r="O210">
        <v>12.76</v>
      </c>
      <c r="P210">
        <v>2.23</v>
      </c>
    </row>
    <row r="211" spans="1:16" x14ac:dyDescent="0.3">
      <c r="A211" t="s">
        <v>11</v>
      </c>
      <c r="B211" t="s">
        <v>22</v>
      </c>
      <c r="C211" t="s">
        <v>21</v>
      </c>
      <c r="D211" t="s">
        <v>10</v>
      </c>
      <c r="E211">
        <v>3</v>
      </c>
      <c r="F211">
        <v>30.06</v>
      </c>
      <c r="G211">
        <v>2</v>
      </c>
      <c r="J211">
        <f t="shared" si="9"/>
        <v>1</v>
      </c>
      <c r="K211">
        <f t="shared" si="10"/>
        <v>2</v>
      </c>
      <c r="L211" cm="1">
        <f t="array" ref="L211">_xlfn.IFS(C211="Sat",1,C211="Sun",2,C211="Thur",3,C211="Fri",4)</f>
        <v>1</v>
      </c>
      <c r="M211">
        <f t="shared" si="11"/>
        <v>2</v>
      </c>
      <c r="N211">
        <v>3</v>
      </c>
      <c r="O211">
        <v>30.06</v>
      </c>
      <c r="P211">
        <v>2</v>
      </c>
    </row>
    <row r="212" spans="1:16" x14ac:dyDescent="0.3">
      <c r="A212" t="s">
        <v>11</v>
      </c>
      <c r="B212" t="s">
        <v>22</v>
      </c>
      <c r="C212" t="s">
        <v>21</v>
      </c>
      <c r="D212" t="s">
        <v>10</v>
      </c>
      <c r="E212">
        <v>4</v>
      </c>
      <c r="F212">
        <v>25.89</v>
      </c>
      <c r="G212">
        <v>5.16</v>
      </c>
      <c r="J212">
        <f t="shared" si="9"/>
        <v>1</v>
      </c>
      <c r="K212">
        <f t="shared" si="10"/>
        <v>2</v>
      </c>
      <c r="L212" cm="1">
        <f t="array" ref="L212">_xlfn.IFS(C212="Sat",1,C212="Sun",2,C212="Thur",3,C212="Fri",4)</f>
        <v>1</v>
      </c>
      <c r="M212">
        <f t="shared" si="11"/>
        <v>2</v>
      </c>
      <c r="N212">
        <v>4</v>
      </c>
      <c r="O212">
        <v>25.89</v>
      </c>
      <c r="P212">
        <v>5.16</v>
      </c>
    </row>
    <row r="213" spans="1:16" x14ac:dyDescent="0.3">
      <c r="A213" t="s">
        <v>11</v>
      </c>
      <c r="B213" t="s">
        <v>8</v>
      </c>
      <c r="C213" t="s">
        <v>21</v>
      </c>
      <c r="D213" t="s">
        <v>10</v>
      </c>
      <c r="E213">
        <v>4</v>
      </c>
      <c r="F213">
        <v>48.33</v>
      </c>
      <c r="G213">
        <v>9</v>
      </c>
      <c r="J213">
        <f t="shared" si="9"/>
        <v>1</v>
      </c>
      <c r="K213">
        <f t="shared" si="10"/>
        <v>1</v>
      </c>
      <c r="L213" cm="1">
        <f t="array" ref="L213">_xlfn.IFS(C213="Sat",1,C213="Sun",2,C213="Thur",3,C213="Fri",4)</f>
        <v>1</v>
      </c>
      <c r="M213">
        <f t="shared" si="11"/>
        <v>2</v>
      </c>
      <c r="N213">
        <v>4</v>
      </c>
      <c r="O213">
        <v>48.33</v>
      </c>
      <c r="P213">
        <v>9</v>
      </c>
    </row>
    <row r="214" spans="1:16" x14ac:dyDescent="0.3">
      <c r="A214" t="s">
        <v>7</v>
      </c>
      <c r="B214" t="s">
        <v>22</v>
      </c>
      <c r="C214" t="s">
        <v>21</v>
      </c>
      <c r="D214" t="s">
        <v>10</v>
      </c>
      <c r="E214">
        <v>2</v>
      </c>
      <c r="F214">
        <v>13.27</v>
      </c>
      <c r="G214">
        <v>2.5</v>
      </c>
      <c r="J214">
        <f t="shared" si="9"/>
        <v>2</v>
      </c>
      <c r="K214">
        <f t="shared" si="10"/>
        <v>2</v>
      </c>
      <c r="L214" cm="1">
        <f t="array" ref="L214">_xlfn.IFS(C214="Sat",1,C214="Sun",2,C214="Thur",3,C214="Fri",4)</f>
        <v>1</v>
      </c>
      <c r="M214">
        <f t="shared" si="11"/>
        <v>2</v>
      </c>
      <c r="N214">
        <v>2</v>
      </c>
      <c r="O214">
        <v>13.27</v>
      </c>
      <c r="P214">
        <v>2.5</v>
      </c>
    </row>
    <row r="215" spans="1:16" x14ac:dyDescent="0.3">
      <c r="A215" t="s">
        <v>7</v>
      </c>
      <c r="B215" t="s">
        <v>22</v>
      </c>
      <c r="C215" t="s">
        <v>21</v>
      </c>
      <c r="D215" t="s">
        <v>10</v>
      </c>
      <c r="E215">
        <v>3</v>
      </c>
      <c r="F215">
        <v>28.17</v>
      </c>
      <c r="G215">
        <v>6.5</v>
      </c>
      <c r="J215">
        <f t="shared" si="9"/>
        <v>2</v>
      </c>
      <c r="K215">
        <f t="shared" si="10"/>
        <v>2</v>
      </c>
      <c r="L215" cm="1">
        <f t="array" ref="L215">_xlfn.IFS(C215="Sat",1,C215="Sun",2,C215="Thur",3,C215="Fri",4)</f>
        <v>1</v>
      </c>
      <c r="M215">
        <f t="shared" si="11"/>
        <v>2</v>
      </c>
      <c r="N215">
        <v>3</v>
      </c>
      <c r="O215">
        <v>28.17</v>
      </c>
      <c r="P215">
        <v>6.5</v>
      </c>
    </row>
    <row r="216" spans="1:16" x14ac:dyDescent="0.3">
      <c r="A216" t="s">
        <v>7</v>
      </c>
      <c r="B216" t="s">
        <v>22</v>
      </c>
      <c r="C216" t="s">
        <v>21</v>
      </c>
      <c r="D216" t="s">
        <v>10</v>
      </c>
      <c r="E216">
        <v>2</v>
      </c>
      <c r="F216">
        <v>12.9</v>
      </c>
      <c r="G216">
        <v>1.1000000000000001</v>
      </c>
      <c r="J216">
        <f t="shared" si="9"/>
        <v>2</v>
      </c>
      <c r="K216">
        <f t="shared" si="10"/>
        <v>2</v>
      </c>
      <c r="L216" cm="1">
        <f t="array" ref="L216">_xlfn.IFS(C216="Sat",1,C216="Sun",2,C216="Thur",3,C216="Fri",4)</f>
        <v>1</v>
      </c>
      <c r="M216">
        <f t="shared" si="11"/>
        <v>2</v>
      </c>
      <c r="N216">
        <v>2</v>
      </c>
      <c r="O216">
        <v>12.9</v>
      </c>
      <c r="P216">
        <v>1.1000000000000001</v>
      </c>
    </row>
    <row r="217" spans="1:16" x14ac:dyDescent="0.3">
      <c r="A217" t="s">
        <v>11</v>
      </c>
      <c r="B217" t="s">
        <v>22</v>
      </c>
      <c r="C217" t="s">
        <v>21</v>
      </c>
      <c r="D217" t="s">
        <v>10</v>
      </c>
      <c r="E217">
        <v>5</v>
      </c>
      <c r="F217">
        <v>28.15</v>
      </c>
      <c r="G217">
        <v>3</v>
      </c>
      <c r="J217">
        <f t="shared" si="9"/>
        <v>1</v>
      </c>
      <c r="K217">
        <f t="shared" si="10"/>
        <v>2</v>
      </c>
      <c r="L217" cm="1">
        <f t="array" ref="L217">_xlfn.IFS(C217="Sat",1,C217="Sun",2,C217="Thur",3,C217="Fri",4)</f>
        <v>1</v>
      </c>
      <c r="M217">
        <f t="shared" si="11"/>
        <v>2</v>
      </c>
      <c r="N217">
        <v>5</v>
      </c>
      <c r="O217">
        <v>28.15</v>
      </c>
      <c r="P217">
        <v>3</v>
      </c>
    </row>
    <row r="218" spans="1:16" x14ac:dyDescent="0.3">
      <c r="A218" t="s">
        <v>11</v>
      </c>
      <c r="B218" t="s">
        <v>22</v>
      </c>
      <c r="C218" t="s">
        <v>21</v>
      </c>
      <c r="D218" t="s">
        <v>10</v>
      </c>
      <c r="E218">
        <v>2</v>
      </c>
      <c r="F218">
        <v>11.59</v>
      </c>
      <c r="G218">
        <v>1.5</v>
      </c>
      <c r="J218">
        <f t="shared" si="9"/>
        <v>1</v>
      </c>
      <c r="K218">
        <f t="shared" si="10"/>
        <v>2</v>
      </c>
      <c r="L218" cm="1">
        <f t="array" ref="L218">_xlfn.IFS(C218="Sat",1,C218="Sun",2,C218="Thur",3,C218="Fri",4)</f>
        <v>1</v>
      </c>
      <c r="M218">
        <f t="shared" si="11"/>
        <v>2</v>
      </c>
      <c r="N218">
        <v>2</v>
      </c>
      <c r="O218">
        <v>11.59</v>
      </c>
      <c r="P218">
        <v>1.5</v>
      </c>
    </row>
    <row r="219" spans="1:16" x14ac:dyDescent="0.3">
      <c r="A219" t="s">
        <v>11</v>
      </c>
      <c r="B219" t="s">
        <v>22</v>
      </c>
      <c r="C219" t="s">
        <v>21</v>
      </c>
      <c r="D219" t="s">
        <v>10</v>
      </c>
      <c r="E219">
        <v>2</v>
      </c>
      <c r="F219">
        <v>7.74</v>
      </c>
      <c r="G219">
        <v>1.44</v>
      </c>
      <c r="J219">
        <f t="shared" si="9"/>
        <v>1</v>
      </c>
      <c r="K219">
        <f t="shared" si="10"/>
        <v>2</v>
      </c>
      <c r="L219" cm="1">
        <f t="array" ref="L219">_xlfn.IFS(C219="Sat",1,C219="Sun",2,C219="Thur",3,C219="Fri",4)</f>
        <v>1</v>
      </c>
      <c r="M219">
        <f t="shared" si="11"/>
        <v>2</v>
      </c>
      <c r="N219">
        <v>2</v>
      </c>
      <c r="O219">
        <v>7.74</v>
      </c>
      <c r="P219">
        <v>1.44</v>
      </c>
    </row>
    <row r="220" spans="1:16" x14ac:dyDescent="0.3">
      <c r="A220" t="s">
        <v>7</v>
      </c>
      <c r="B220" t="s">
        <v>22</v>
      </c>
      <c r="C220" t="s">
        <v>21</v>
      </c>
      <c r="D220" t="s">
        <v>10</v>
      </c>
      <c r="E220">
        <v>4</v>
      </c>
      <c r="F220">
        <v>30.14</v>
      </c>
      <c r="G220">
        <v>3.09</v>
      </c>
      <c r="J220">
        <f t="shared" si="9"/>
        <v>2</v>
      </c>
      <c r="K220">
        <f t="shared" si="10"/>
        <v>2</v>
      </c>
      <c r="L220" cm="1">
        <f t="array" ref="L220">_xlfn.IFS(C220="Sat",1,C220="Sun",2,C220="Thur",3,C220="Fri",4)</f>
        <v>1</v>
      </c>
      <c r="M220">
        <f t="shared" si="11"/>
        <v>2</v>
      </c>
      <c r="N220">
        <v>4</v>
      </c>
      <c r="O220">
        <v>30.14</v>
      </c>
      <c r="P220">
        <v>3.09</v>
      </c>
    </row>
    <row r="221" spans="1:16" x14ac:dyDescent="0.3">
      <c r="A221" t="s">
        <v>11</v>
      </c>
      <c r="B221" t="s">
        <v>22</v>
      </c>
      <c r="C221" t="s">
        <v>25</v>
      </c>
      <c r="D221" t="s">
        <v>24</v>
      </c>
      <c r="E221">
        <v>2</v>
      </c>
      <c r="F221">
        <v>12.16</v>
      </c>
      <c r="G221">
        <v>2.2000000000000002</v>
      </c>
      <c r="J221">
        <f t="shared" si="9"/>
        <v>1</v>
      </c>
      <c r="K221">
        <f t="shared" si="10"/>
        <v>2</v>
      </c>
      <c r="L221" cm="1">
        <f t="array" ref="L221">_xlfn.IFS(C221="Sat",1,C221="Sun",2,C221="Thur",3,C221="Fri",4)</f>
        <v>4</v>
      </c>
      <c r="M221">
        <f t="shared" si="11"/>
        <v>1</v>
      </c>
      <c r="N221">
        <v>2</v>
      </c>
      <c r="O221">
        <v>12.16</v>
      </c>
      <c r="P221">
        <v>2.2000000000000002</v>
      </c>
    </row>
    <row r="222" spans="1:16" x14ac:dyDescent="0.3">
      <c r="A222" t="s">
        <v>7</v>
      </c>
      <c r="B222" t="s">
        <v>22</v>
      </c>
      <c r="C222" t="s">
        <v>25</v>
      </c>
      <c r="D222" t="s">
        <v>24</v>
      </c>
      <c r="E222">
        <v>2</v>
      </c>
      <c r="F222">
        <v>13.42</v>
      </c>
      <c r="G222">
        <v>3.48</v>
      </c>
      <c r="J222">
        <f t="shared" si="9"/>
        <v>2</v>
      </c>
      <c r="K222">
        <f t="shared" si="10"/>
        <v>2</v>
      </c>
      <c r="L222" cm="1">
        <f t="array" ref="L222">_xlfn.IFS(C222="Sat",1,C222="Sun",2,C222="Thur",3,C222="Fri",4)</f>
        <v>4</v>
      </c>
      <c r="M222">
        <f t="shared" si="11"/>
        <v>1</v>
      </c>
      <c r="N222">
        <v>2</v>
      </c>
      <c r="O222">
        <v>13.42</v>
      </c>
      <c r="P222">
        <v>3.48</v>
      </c>
    </row>
    <row r="223" spans="1:16" x14ac:dyDescent="0.3">
      <c r="A223" t="s">
        <v>11</v>
      </c>
      <c r="B223" t="s">
        <v>22</v>
      </c>
      <c r="C223" t="s">
        <v>25</v>
      </c>
      <c r="D223" t="s">
        <v>24</v>
      </c>
      <c r="E223">
        <v>1</v>
      </c>
      <c r="F223">
        <v>8.58</v>
      </c>
      <c r="G223">
        <v>1.92</v>
      </c>
      <c r="J223">
        <f t="shared" si="9"/>
        <v>1</v>
      </c>
      <c r="K223">
        <f t="shared" si="10"/>
        <v>2</v>
      </c>
      <c r="L223" cm="1">
        <f t="array" ref="L223">_xlfn.IFS(C223="Sat",1,C223="Sun",2,C223="Thur",3,C223="Fri",4)</f>
        <v>4</v>
      </c>
      <c r="M223">
        <f t="shared" si="11"/>
        <v>1</v>
      </c>
      <c r="N223">
        <v>1</v>
      </c>
      <c r="O223">
        <v>8.58</v>
      </c>
      <c r="P223">
        <v>1.92</v>
      </c>
    </row>
    <row r="224" spans="1:16" x14ac:dyDescent="0.3">
      <c r="A224" t="s">
        <v>7</v>
      </c>
      <c r="B224" t="s">
        <v>8</v>
      </c>
      <c r="C224" t="s">
        <v>25</v>
      </c>
      <c r="D224" t="s">
        <v>24</v>
      </c>
      <c r="E224">
        <v>3</v>
      </c>
      <c r="F224">
        <v>15.98</v>
      </c>
      <c r="G224">
        <v>3</v>
      </c>
      <c r="J224">
        <f t="shared" si="9"/>
        <v>2</v>
      </c>
      <c r="K224">
        <f t="shared" si="10"/>
        <v>1</v>
      </c>
      <c r="L224" cm="1">
        <f t="array" ref="L224">_xlfn.IFS(C224="Sat",1,C224="Sun",2,C224="Thur",3,C224="Fri",4)</f>
        <v>4</v>
      </c>
      <c r="M224">
        <f t="shared" si="11"/>
        <v>1</v>
      </c>
      <c r="N224">
        <v>3</v>
      </c>
      <c r="O224">
        <v>15.98</v>
      </c>
      <c r="P224">
        <v>3</v>
      </c>
    </row>
    <row r="225" spans="1:16" x14ac:dyDescent="0.3">
      <c r="A225" t="s">
        <v>11</v>
      </c>
      <c r="B225" t="s">
        <v>22</v>
      </c>
      <c r="C225" t="s">
        <v>25</v>
      </c>
      <c r="D225" t="s">
        <v>24</v>
      </c>
      <c r="E225">
        <v>2</v>
      </c>
      <c r="F225">
        <v>13.42</v>
      </c>
      <c r="G225">
        <v>1.58</v>
      </c>
      <c r="J225">
        <f t="shared" si="9"/>
        <v>1</v>
      </c>
      <c r="K225">
        <f t="shared" si="10"/>
        <v>2</v>
      </c>
      <c r="L225" cm="1">
        <f t="array" ref="L225">_xlfn.IFS(C225="Sat",1,C225="Sun",2,C225="Thur",3,C225="Fri",4)</f>
        <v>4</v>
      </c>
      <c r="M225">
        <f t="shared" si="11"/>
        <v>1</v>
      </c>
      <c r="N225">
        <v>2</v>
      </c>
      <c r="O225">
        <v>13.42</v>
      </c>
      <c r="P225">
        <v>1.58</v>
      </c>
    </row>
    <row r="226" spans="1:16" x14ac:dyDescent="0.3">
      <c r="A226" t="s">
        <v>7</v>
      </c>
      <c r="B226" t="s">
        <v>22</v>
      </c>
      <c r="C226" t="s">
        <v>25</v>
      </c>
      <c r="D226" t="s">
        <v>24</v>
      </c>
      <c r="E226">
        <v>2</v>
      </c>
      <c r="F226">
        <v>16.27</v>
      </c>
      <c r="G226">
        <v>2.5</v>
      </c>
      <c r="J226">
        <f t="shared" si="9"/>
        <v>2</v>
      </c>
      <c r="K226">
        <f t="shared" si="10"/>
        <v>2</v>
      </c>
      <c r="L226" cm="1">
        <f t="array" ref="L226">_xlfn.IFS(C226="Sat",1,C226="Sun",2,C226="Thur",3,C226="Fri",4)</f>
        <v>4</v>
      </c>
      <c r="M226">
        <f t="shared" si="11"/>
        <v>1</v>
      </c>
      <c r="N226">
        <v>2</v>
      </c>
      <c r="O226">
        <v>16.27</v>
      </c>
      <c r="P226">
        <v>2.5</v>
      </c>
    </row>
    <row r="227" spans="1:16" x14ac:dyDescent="0.3">
      <c r="A227" t="s">
        <v>7</v>
      </c>
      <c r="B227" t="s">
        <v>22</v>
      </c>
      <c r="C227" t="s">
        <v>25</v>
      </c>
      <c r="D227" t="s">
        <v>24</v>
      </c>
      <c r="E227">
        <v>2</v>
      </c>
      <c r="F227">
        <v>10.09</v>
      </c>
      <c r="G227">
        <v>2</v>
      </c>
      <c r="J227">
        <f t="shared" si="9"/>
        <v>2</v>
      </c>
      <c r="K227">
        <f t="shared" si="10"/>
        <v>2</v>
      </c>
      <c r="L227" cm="1">
        <f t="array" ref="L227">_xlfn.IFS(C227="Sat",1,C227="Sun",2,C227="Thur",3,C227="Fri",4)</f>
        <v>4</v>
      </c>
      <c r="M227">
        <f t="shared" si="11"/>
        <v>1</v>
      </c>
      <c r="N227">
        <v>2</v>
      </c>
      <c r="O227">
        <v>10.09</v>
      </c>
      <c r="P227">
        <v>2</v>
      </c>
    </row>
    <row r="228" spans="1:16" x14ac:dyDescent="0.3">
      <c r="A228" t="s">
        <v>11</v>
      </c>
      <c r="B228" t="s">
        <v>8</v>
      </c>
      <c r="C228" t="s">
        <v>21</v>
      </c>
      <c r="D228" t="s">
        <v>10</v>
      </c>
      <c r="E228">
        <v>4</v>
      </c>
      <c r="F228">
        <v>20.45</v>
      </c>
      <c r="G228">
        <v>3</v>
      </c>
      <c r="J228">
        <f t="shared" si="9"/>
        <v>1</v>
      </c>
      <c r="K228">
        <f t="shared" si="10"/>
        <v>1</v>
      </c>
      <c r="L228" cm="1">
        <f t="array" ref="L228">_xlfn.IFS(C228="Sat",1,C228="Sun",2,C228="Thur",3,C228="Fri",4)</f>
        <v>1</v>
      </c>
      <c r="M228">
        <f t="shared" si="11"/>
        <v>2</v>
      </c>
      <c r="N228">
        <v>4</v>
      </c>
      <c r="O228">
        <v>20.45</v>
      </c>
      <c r="P228">
        <v>3</v>
      </c>
    </row>
    <row r="229" spans="1:16" x14ac:dyDescent="0.3">
      <c r="A229" t="s">
        <v>11</v>
      </c>
      <c r="B229" t="s">
        <v>8</v>
      </c>
      <c r="C229" t="s">
        <v>21</v>
      </c>
      <c r="D229" t="s">
        <v>10</v>
      </c>
      <c r="E229">
        <v>2</v>
      </c>
      <c r="F229">
        <v>13.28</v>
      </c>
      <c r="G229">
        <v>2.72</v>
      </c>
      <c r="J229">
        <f t="shared" si="9"/>
        <v>1</v>
      </c>
      <c r="K229">
        <f t="shared" si="10"/>
        <v>1</v>
      </c>
      <c r="L229" cm="1">
        <f t="array" ref="L229">_xlfn.IFS(C229="Sat",1,C229="Sun",2,C229="Thur",3,C229="Fri",4)</f>
        <v>1</v>
      </c>
      <c r="M229">
        <f t="shared" si="11"/>
        <v>2</v>
      </c>
      <c r="N229">
        <v>2</v>
      </c>
      <c r="O229">
        <v>13.28</v>
      </c>
      <c r="P229">
        <v>2.72</v>
      </c>
    </row>
    <row r="230" spans="1:16" x14ac:dyDescent="0.3">
      <c r="A230" t="s">
        <v>7</v>
      </c>
      <c r="B230" t="s">
        <v>22</v>
      </c>
      <c r="C230" t="s">
        <v>21</v>
      </c>
      <c r="D230" t="s">
        <v>10</v>
      </c>
      <c r="E230">
        <v>2</v>
      </c>
      <c r="F230">
        <v>22.12</v>
      </c>
      <c r="G230">
        <v>2.88</v>
      </c>
      <c r="J230">
        <f t="shared" si="9"/>
        <v>2</v>
      </c>
      <c r="K230">
        <f t="shared" si="10"/>
        <v>2</v>
      </c>
      <c r="L230" cm="1">
        <f t="array" ref="L230">_xlfn.IFS(C230="Sat",1,C230="Sun",2,C230="Thur",3,C230="Fri",4)</f>
        <v>1</v>
      </c>
      <c r="M230">
        <f t="shared" si="11"/>
        <v>2</v>
      </c>
      <c r="N230">
        <v>2</v>
      </c>
      <c r="O230">
        <v>22.12</v>
      </c>
      <c r="P230">
        <v>2.88</v>
      </c>
    </row>
    <row r="231" spans="1:16" x14ac:dyDescent="0.3">
      <c r="A231" t="s">
        <v>11</v>
      </c>
      <c r="B231" t="s">
        <v>22</v>
      </c>
      <c r="C231" t="s">
        <v>21</v>
      </c>
      <c r="D231" t="s">
        <v>10</v>
      </c>
      <c r="E231">
        <v>4</v>
      </c>
      <c r="F231">
        <v>24.01</v>
      </c>
      <c r="G231">
        <v>2</v>
      </c>
      <c r="J231">
        <f t="shared" si="9"/>
        <v>1</v>
      </c>
      <c r="K231">
        <f t="shared" si="10"/>
        <v>2</v>
      </c>
      <c r="L231" cm="1">
        <f t="array" ref="L231">_xlfn.IFS(C231="Sat",1,C231="Sun",2,C231="Thur",3,C231="Fri",4)</f>
        <v>1</v>
      </c>
      <c r="M231">
        <f t="shared" si="11"/>
        <v>2</v>
      </c>
      <c r="N231">
        <v>4</v>
      </c>
      <c r="O231">
        <v>24.01</v>
      </c>
      <c r="P231">
        <v>2</v>
      </c>
    </row>
    <row r="232" spans="1:16" x14ac:dyDescent="0.3">
      <c r="A232" t="s">
        <v>11</v>
      </c>
      <c r="B232" t="s">
        <v>22</v>
      </c>
      <c r="C232" t="s">
        <v>21</v>
      </c>
      <c r="D232" t="s">
        <v>10</v>
      </c>
      <c r="E232">
        <v>3</v>
      </c>
      <c r="F232">
        <v>15.69</v>
      </c>
      <c r="G232">
        <v>3</v>
      </c>
      <c r="J232">
        <f t="shared" si="9"/>
        <v>1</v>
      </c>
      <c r="K232">
        <f t="shared" si="10"/>
        <v>2</v>
      </c>
      <c r="L232" cm="1">
        <f t="array" ref="L232">_xlfn.IFS(C232="Sat",1,C232="Sun",2,C232="Thur",3,C232="Fri",4)</f>
        <v>1</v>
      </c>
      <c r="M232">
        <f t="shared" si="11"/>
        <v>2</v>
      </c>
      <c r="N232">
        <v>3</v>
      </c>
      <c r="O232">
        <v>15.69</v>
      </c>
      <c r="P232">
        <v>3</v>
      </c>
    </row>
    <row r="233" spans="1:16" x14ac:dyDescent="0.3">
      <c r="A233" t="s">
        <v>11</v>
      </c>
      <c r="B233" t="s">
        <v>8</v>
      </c>
      <c r="C233" t="s">
        <v>21</v>
      </c>
      <c r="D233" t="s">
        <v>10</v>
      </c>
      <c r="E233">
        <v>2</v>
      </c>
      <c r="F233">
        <v>11.61</v>
      </c>
      <c r="G233">
        <v>3.39</v>
      </c>
      <c r="J233">
        <f t="shared" si="9"/>
        <v>1</v>
      </c>
      <c r="K233">
        <f t="shared" si="10"/>
        <v>1</v>
      </c>
      <c r="L233" cm="1">
        <f t="array" ref="L233">_xlfn.IFS(C233="Sat",1,C233="Sun",2,C233="Thur",3,C233="Fri",4)</f>
        <v>1</v>
      </c>
      <c r="M233">
        <f t="shared" si="11"/>
        <v>2</v>
      </c>
      <c r="N233">
        <v>2</v>
      </c>
      <c r="O233">
        <v>11.61</v>
      </c>
      <c r="P233">
        <v>3.39</v>
      </c>
    </row>
    <row r="234" spans="1:16" x14ac:dyDescent="0.3">
      <c r="A234" t="s">
        <v>11</v>
      </c>
      <c r="B234" t="s">
        <v>8</v>
      </c>
      <c r="C234" t="s">
        <v>21</v>
      </c>
      <c r="D234" t="s">
        <v>10</v>
      </c>
      <c r="E234">
        <v>2</v>
      </c>
      <c r="F234">
        <v>10.77</v>
      </c>
      <c r="G234">
        <v>1.47</v>
      </c>
      <c r="J234">
        <f t="shared" si="9"/>
        <v>1</v>
      </c>
      <c r="K234">
        <f t="shared" si="10"/>
        <v>1</v>
      </c>
      <c r="L234" cm="1">
        <f t="array" ref="L234">_xlfn.IFS(C234="Sat",1,C234="Sun",2,C234="Thur",3,C234="Fri",4)</f>
        <v>1</v>
      </c>
      <c r="M234">
        <f t="shared" si="11"/>
        <v>2</v>
      </c>
      <c r="N234">
        <v>2</v>
      </c>
      <c r="O234">
        <v>10.77</v>
      </c>
      <c r="P234">
        <v>1.47</v>
      </c>
    </row>
    <row r="235" spans="1:16" x14ac:dyDescent="0.3">
      <c r="A235" t="s">
        <v>11</v>
      </c>
      <c r="B235" t="s">
        <v>22</v>
      </c>
      <c r="C235" t="s">
        <v>21</v>
      </c>
      <c r="D235" t="s">
        <v>10</v>
      </c>
      <c r="E235">
        <v>2</v>
      </c>
      <c r="F235">
        <v>15.53</v>
      </c>
      <c r="G235">
        <v>3</v>
      </c>
      <c r="J235">
        <f t="shared" si="9"/>
        <v>1</v>
      </c>
      <c r="K235">
        <f t="shared" si="10"/>
        <v>2</v>
      </c>
      <c r="L235" cm="1">
        <f t="array" ref="L235">_xlfn.IFS(C235="Sat",1,C235="Sun",2,C235="Thur",3,C235="Fri",4)</f>
        <v>1</v>
      </c>
      <c r="M235">
        <f t="shared" si="11"/>
        <v>2</v>
      </c>
      <c r="N235">
        <v>2</v>
      </c>
      <c r="O235">
        <v>15.53</v>
      </c>
      <c r="P235">
        <v>3</v>
      </c>
    </row>
    <row r="236" spans="1:16" x14ac:dyDescent="0.3">
      <c r="A236" t="s">
        <v>11</v>
      </c>
      <c r="B236" t="s">
        <v>8</v>
      </c>
      <c r="C236" t="s">
        <v>21</v>
      </c>
      <c r="D236" t="s">
        <v>10</v>
      </c>
      <c r="E236">
        <v>2</v>
      </c>
      <c r="F236">
        <v>10.07</v>
      </c>
      <c r="G236">
        <v>1.25</v>
      </c>
      <c r="J236">
        <f t="shared" si="9"/>
        <v>1</v>
      </c>
      <c r="K236">
        <f t="shared" si="10"/>
        <v>1</v>
      </c>
      <c r="L236" cm="1">
        <f t="array" ref="L236">_xlfn.IFS(C236="Sat",1,C236="Sun",2,C236="Thur",3,C236="Fri",4)</f>
        <v>1</v>
      </c>
      <c r="M236">
        <f t="shared" si="11"/>
        <v>2</v>
      </c>
      <c r="N236">
        <v>2</v>
      </c>
      <c r="O236">
        <v>10.07</v>
      </c>
      <c r="P236">
        <v>1.25</v>
      </c>
    </row>
    <row r="237" spans="1:16" x14ac:dyDescent="0.3">
      <c r="A237" t="s">
        <v>11</v>
      </c>
      <c r="B237" t="s">
        <v>22</v>
      </c>
      <c r="C237" t="s">
        <v>21</v>
      </c>
      <c r="D237" t="s">
        <v>10</v>
      </c>
      <c r="E237">
        <v>2</v>
      </c>
      <c r="F237">
        <v>12.6</v>
      </c>
      <c r="G237">
        <v>1</v>
      </c>
      <c r="J237">
        <f t="shared" si="9"/>
        <v>1</v>
      </c>
      <c r="K237">
        <f t="shared" si="10"/>
        <v>2</v>
      </c>
      <c r="L237" cm="1">
        <f t="array" ref="L237">_xlfn.IFS(C237="Sat",1,C237="Sun",2,C237="Thur",3,C237="Fri",4)</f>
        <v>1</v>
      </c>
      <c r="M237">
        <f t="shared" si="11"/>
        <v>2</v>
      </c>
      <c r="N237">
        <v>2</v>
      </c>
      <c r="O237">
        <v>12.6</v>
      </c>
      <c r="P237">
        <v>1</v>
      </c>
    </row>
    <row r="238" spans="1:16" x14ac:dyDescent="0.3">
      <c r="A238" t="s">
        <v>11</v>
      </c>
      <c r="B238" t="s">
        <v>22</v>
      </c>
      <c r="C238" t="s">
        <v>21</v>
      </c>
      <c r="D238" t="s">
        <v>10</v>
      </c>
      <c r="E238">
        <v>2</v>
      </c>
      <c r="F238">
        <v>32.83</v>
      </c>
      <c r="G238">
        <v>1.17</v>
      </c>
      <c r="J238">
        <f t="shared" si="9"/>
        <v>1</v>
      </c>
      <c r="K238">
        <f t="shared" si="10"/>
        <v>2</v>
      </c>
      <c r="L238" cm="1">
        <f t="array" ref="L238">_xlfn.IFS(C238="Sat",1,C238="Sun",2,C238="Thur",3,C238="Fri",4)</f>
        <v>1</v>
      </c>
      <c r="M238">
        <f t="shared" si="11"/>
        <v>2</v>
      </c>
      <c r="N238">
        <v>2</v>
      </c>
      <c r="O238">
        <v>32.83</v>
      </c>
      <c r="P238">
        <v>1.17</v>
      </c>
    </row>
    <row r="239" spans="1:16" x14ac:dyDescent="0.3">
      <c r="A239" t="s">
        <v>7</v>
      </c>
      <c r="B239" t="s">
        <v>8</v>
      </c>
      <c r="C239" t="s">
        <v>21</v>
      </c>
      <c r="D239" t="s">
        <v>10</v>
      </c>
      <c r="E239">
        <v>3</v>
      </c>
      <c r="F239">
        <v>35.83</v>
      </c>
      <c r="G239">
        <v>4.67</v>
      </c>
      <c r="J239">
        <f t="shared" si="9"/>
        <v>2</v>
      </c>
      <c r="K239">
        <f t="shared" si="10"/>
        <v>1</v>
      </c>
      <c r="L239" cm="1">
        <f t="array" ref="L239">_xlfn.IFS(C239="Sat",1,C239="Sun",2,C239="Thur",3,C239="Fri",4)</f>
        <v>1</v>
      </c>
      <c r="M239">
        <f t="shared" si="11"/>
        <v>2</v>
      </c>
      <c r="N239">
        <v>3</v>
      </c>
      <c r="O239">
        <v>35.83</v>
      </c>
      <c r="P239">
        <v>4.67</v>
      </c>
    </row>
    <row r="240" spans="1:16" x14ac:dyDescent="0.3">
      <c r="A240" t="s">
        <v>11</v>
      </c>
      <c r="B240" t="s">
        <v>8</v>
      </c>
      <c r="C240" t="s">
        <v>21</v>
      </c>
      <c r="D240" t="s">
        <v>10</v>
      </c>
      <c r="E240">
        <v>3</v>
      </c>
      <c r="F240">
        <v>29.03</v>
      </c>
      <c r="G240">
        <v>5.92</v>
      </c>
      <c r="J240">
        <f t="shared" si="9"/>
        <v>1</v>
      </c>
      <c r="K240">
        <f t="shared" si="10"/>
        <v>1</v>
      </c>
      <c r="L240" cm="1">
        <f t="array" ref="L240">_xlfn.IFS(C240="Sat",1,C240="Sun",2,C240="Thur",3,C240="Fri",4)</f>
        <v>1</v>
      </c>
      <c r="M240">
        <f t="shared" si="11"/>
        <v>2</v>
      </c>
      <c r="N240">
        <v>3</v>
      </c>
      <c r="O240">
        <v>29.03</v>
      </c>
      <c r="P240">
        <v>5.92</v>
      </c>
    </row>
    <row r="241" spans="1:16" x14ac:dyDescent="0.3">
      <c r="A241" t="s">
        <v>7</v>
      </c>
      <c r="B241" t="s">
        <v>22</v>
      </c>
      <c r="C241" t="s">
        <v>21</v>
      </c>
      <c r="D241" t="s">
        <v>10</v>
      </c>
      <c r="E241">
        <v>2</v>
      </c>
      <c r="F241">
        <v>27.18</v>
      </c>
      <c r="G241">
        <v>2</v>
      </c>
      <c r="J241">
        <f t="shared" si="9"/>
        <v>2</v>
      </c>
      <c r="K241">
        <f t="shared" si="10"/>
        <v>2</v>
      </c>
      <c r="L241" cm="1">
        <f t="array" ref="L241">_xlfn.IFS(C241="Sat",1,C241="Sun",2,C241="Thur",3,C241="Fri",4)</f>
        <v>1</v>
      </c>
      <c r="M241">
        <f t="shared" si="11"/>
        <v>2</v>
      </c>
      <c r="N241">
        <v>2</v>
      </c>
      <c r="O241">
        <v>27.18</v>
      </c>
      <c r="P241">
        <v>2</v>
      </c>
    </row>
    <row r="242" spans="1:16" x14ac:dyDescent="0.3">
      <c r="A242" t="s">
        <v>11</v>
      </c>
      <c r="B242" t="s">
        <v>22</v>
      </c>
      <c r="C242" t="s">
        <v>21</v>
      </c>
      <c r="D242" t="s">
        <v>10</v>
      </c>
      <c r="E242">
        <v>2</v>
      </c>
      <c r="F242">
        <v>22.67</v>
      </c>
      <c r="G242">
        <v>2</v>
      </c>
      <c r="J242">
        <f t="shared" si="9"/>
        <v>1</v>
      </c>
      <c r="K242">
        <f t="shared" si="10"/>
        <v>2</v>
      </c>
      <c r="L242" cm="1">
        <f t="array" ref="L242">_xlfn.IFS(C242="Sat",1,C242="Sun",2,C242="Thur",3,C242="Fri",4)</f>
        <v>1</v>
      </c>
      <c r="M242">
        <f t="shared" si="11"/>
        <v>2</v>
      </c>
      <c r="N242">
        <v>2</v>
      </c>
      <c r="O242">
        <v>22.67</v>
      </c>
      <c r="P242">
        <v>2</v>
      </c>
    </row>
    <row r="243" spans="1:16" x14ac:dyDescent="0.3">
      <c r="A243" t="s">
        <v>11</v>
      </c>
      <c r="B243" t="s">
        <v>8</v>
      </c>
      <c r="C243" t="s">
        <v>21</v>
      </c>
      <c r="D243" t="s">
        <v>10</v>
      </c>
      <c r="E243">
        <v>2</v>
      </c>
      <c r="F243">
        <v>17.82</v>
      </c>
      <c r="G243">
        <v>1.75</v>
      </c>
      <c r="J243">
        <f t="shared" si="9"/>
        <v>1</v>
      </c>
      <c r="K243">
        <f t="shared" si="10"/>
        <v>1</v>
      </c>
      <c r="L243" cm="1">
        <f t="array" ref="L243">_xlfn.IFS(C243="Sat",1,C243="Sun",2,C243="Thur",3,C243="Fri",4)</f>
        <v>1</v>
      </c>
      <c r="M243">
        <f t="shared" si="11"/>
        <v>2</v>
      </c>
      <c r="N243">
        <v>2</v>
      </c>
      <c r="O243">
        <v>17.82</v>
      </c>
      <c r="P243">
        <v>1.75</v>
      </c>
    </row>
    <row r="244" spans="1:16" x14ac:dyDescent="0.3">
      <c r="A244" t="s">
        <v>7</v>
      </c>
      <c r="B244" t="s">
        <v>8</v>
      </c>
      <c r="C244" t="s">
        <v>23</v>
      </c>
      <c r="D244" t="s">
        <v>10</v>
      </c>
      <c r="E244">
        <v>2</v>
      </c>
      <c r="F244">
        <v>18.78</v>
      </c>
      <c r="G244">
        <v>3</v>
      </c>
      <c r="J244">
        <f t="shared" si="9"/>
        <v>2</v>
      </c>
      <c r="K244">
        <f t="shared" si="10"/>
        <v>1</v>
      </c>
      <c r="L244" cm="1">
        <f t="array" ref="L244">_xlfn.IFS(C244="Sat",1,C244="Sun",2,C244="Thur",3,C244="Fri",4)</f>
        <v>3</v>
      </c>
      <c r="M244">
        <f t="shared" si="11"/>
        <v>2</v>
      </c>
      <c r="N244">
        <v>2</v>
      </c>
      <c r="O244">
        <v>18.78</v>
      </c>
      <c r="P244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tips</vt:lpstr>
      <vt:lpstr>Sheet2</vt:lpstr>
      <vt:lpstr>Sheet3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Balaji Venkateswaran</dc:creator>
  <cp:keywords/>
  <dc:description/>
  <cp:lastModifiedBy>royshreya345@outlook.com</cp:lastModifiedBy>
  <cp:revision/>
  <dcterms:created xsi:type="dcterms:W3CDTF">2021-10-26T16:10:41Z</dcterms:created>
  <dcterms:modified xsi:type="dcterms:W3CDTF">2026-07-15T14:55:08Z</dcterms:modified>
  <cp:category/>
  <cp:contentStatus/>
</cp:coreProperties>
</file>